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4"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kyleprince/Desktop/elk2020_dataentry/"/>
    </mc:Choice>
  </mc:AlternateContent>
  <xr:revisionPtr revIDLastSave="0" documentId="13_ncr:1_{396186BC-FAC8-AC42-AEC6-FF3ED98B0872}" xr6:coauthVersionLast="36" xr6:coauthVersionMax="41" xr10:uidLastSave="{00000000-0000-0000-0000-000000000000}"/>
  <bookViews>
    <workbookView xWindow="5060" yWindow="76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81029"/>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51" i="2"/>
  <c r="AM48" i="2"/>
  <c r="AM36" i="2"/>
  <c r="AM29" i="2"/>
  <c r="AM28" i="2"/>
  <c r="AM25" i="2"/>
  <c r="AM24" i="2"/>
  <c r="AM21" i="2"/>
  <c r="AM20" i="2"/>
  <c r="AJ5283" i="2"/>
  <c r="AI5283" i="2"/>
  <c r="AH5283" i="2"/>
  <c r="AG5283" i="2"/>
  <c r="AF5283" i="2"/>
  <c r="AK5283" i="2"/>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L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L22" i="2" s="1"/>
  <c r="AM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c r="AI168" i="2"/>
  <c r="AJ168" i="2"/>
  <c r="AF169" i="2"/>
  <c r="AK169" i="2"/>
  <c r="AG169" i="2"/>
  <c r="AH169" i="2"/>
  <c r="AI169" i="2"/>
  <c r="AL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L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L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L947" i="2"/>
  <c r="AJ947" i="2"/>
  <c r="AF948" i="2"/>
  <c r="AK948" i="2"/>
  <c r="AG948" i="2"/>
  <c r="AH948" i="2"/>
  <c r="AI948" i="2"/>
  <c r="AJ948" i="2"/>
  <c r="AF949" i="2"/>
  <c r="AK949" i="2"/>
  <c r="AG949" i="2"/>
  <c r="AH949" i="2"/>
  <c r="AI949" i="2"/>
  <c r="AJ949" i="2"/>
  <c r="AF950" i="2"/>
  <c r="AK950" i="2"/>
  <c r="AG950" i="2"/>
  <c r="AL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c r="AG999" i="2"/>
  <c r="AH999" i="2"/>
  <c r="AI999" i="2"/>
  <c r="AJ999" i="2"/>
  <c r="AF1000" i="2"/>
  <c r="AK1000" i="2"/>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L2004" i="2"/>
  <c r="AG2004" i="2"/>
  <c r="AH2004" i="2"/>
  <c r="AI2004" i="2"/>
  <c r="AJ2004" i="2"/>
  <c r="AF2005" i="2"/>
  <c r="AK2005" i="2"/>
  <c r="AG2005" i="2"/>
  <c r="AH2005" i="2"/>
  <c r="AI2005" i="2"/>
  <c r="AJ2005" i="2"/>
  <c r="AF2006" i="2"/>
  <c r="AK2006" i="2"/>
  <c r="AG2006" i="2"/>
  <c r="AH2006" i="2"/>
  <c r="AL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L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L2353" i="2"/>
  <c r="AG2353" i="2"/>
  <c r="AH2353" i="2"/>
  <c r="AI2353" i="2"/>
  <c r="AJ2353" i="2"/>
  <c r="AF2354" i="2"/>
  <c r="AK2354" i="2"/>
  <c r="AG2354" i="2"/>
  <c r="AH2354" i="2"/>
  <c r="AI2354" i="2"/>
  <c r="AJ2354" i="2"/>
  <c r="AF2355" i="2"/>
  <c r="AK2355" i="2"/>
  <c r="AG2355" i="2"/>
  <c r="AL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c r="AI2364" i="2"/>
  <c r="AJ2364" i="2"/>
  <c r="AF2365" i="2"/>
  <c r="AK2365" i="2"/>
  <c r="AG2365" i="2"/>
  <c r="AH2365" i="2"/>
  <c r="AI2365" i="2"/>
  <c r="AJ2365" i="2"/>
  <c r="AF2366" i="2"/>
  <c r="AK2366" i="2"/>
  <c r="AG2366" i="2"/>
  <c r="AH2366" i="2"/>
  <c r="AL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L2406" i="2"/>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L2416" i="2"/>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c r="AF2447" i="2"/>
  <c r="AK2447" i="2"/>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L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c r="AF2463" i="2"/>
  <c r="AK2463" i="2"/>
  <c r="AG2463" i="2"/>
  <c r="AH2463" i="2"/>
  <c r="AL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c r="AG2474" i="2"/>
  <c r="AH2474" i="2"/>
  <c r="AI2474" i="2"/>
  <c r="AJ2474" i="2"/>
  <c r="AF2475" i="2"/>
  <c r="AK2475" i="2"/>
  <c r="AG2475" i="2"/>
  <c r="AH2475" i="2"/>
  <c r="AI2475" i="2"/>
  <c r="AJ2475" i="2"/>
  <c r="AF2476" i="2"/>
  <c r="AK2476" i="2"/>
  <c r="AL2476" i="2"/>
  <c r="AG2476" i="2"/>
  <c r="AH2476" i="2"/>
  <c r="AI2476" i="2"/>
  <c r="AJ2476" i="2"/>
  <c r="AF2477" i="2"/>
  <c r="AK2477" i="2"/>
  <c r="AG2477" i="2"/>
  <c r="AH2477" i="2"/>
  <c r="AI2477" i="2"/>
  <c r="AJ2477" i="2"/>
  <c r="AF2478" i="2"/>
  <c r="AK2478" i="2"/>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L2542" i="2"/>
  <c r="AF2543" i="2"/>
  <c r="AK2543" i="2"/>
  <c r="AG2543" i="2"/>
  <c r="AH2543" i="2"/>
  <c r="AI2543" i="2"/>
  <c r="AJ2543" i="2"/>
  <c r="AF2544" i="2"/>
  <c r="AK2544" i="2"/>
  <c r="AL2544" i="2"/>
  <c r="AG2544" i="2"/>
  <c r="AH2544" i="2"/>
  <c r="AI2544" i="2"/>
  <c r="AJ2544" i="2"/>
  <c r="AF2545" i="2"/>
  <c r="AK2545" i="2"/>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c r="AG2568" i="2"/>
  <c r="AH2568" i="2"/>
  <c r="AI2568" i="2"/>
  <c r="AJ2568" i="2"/>
  <c r="AF2569" i="2"/>
  <c r="AK2569" i="2"/>
  <c r="AG2569" i="2"/>
  <c r="AH2569" i="2"/>
  <c r="AI2569" i="2"/>
  <c r="AJ2569" i="2"/>
  <c r="AF2570" i="2"/>
  <c r="AK2570" i="2"/>
  <c r="AG2570" i="2"/>
  <c r="AH2570" i="2"/>
  <c r="AI2570" i="2"/>
  <c r="AJ2570" i="2"/>
  <c r="AF2571" i="2"/>
  <c r="AK2571" i="2"/>
  <c r="AG2571" i="2"/>
  <c r="AL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H2606" i="2"/>
  <c r="AI2606" i="2"/>
  <c r="AJ2606" i="2"/>
  <c r="AL2606" i="2"/>
  <c r="AF2607" i="2"/>
  <c r="AK2607" i="2"/>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c r="AG2674" i="2"/>
  <c r="AH2674" i="2"/>
  <c r="AI2674" i="2"/>
  <c r="AL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c r="AG2690" i="2"/>
  <c r="AH2690" i="2"/>
  <c r="AI2690" i="2"/>
  <c r="AL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L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L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c r="AG3254" i="2"/>
  <c r="AH3254" i="2"/>
  <c r="AI3254" i="2"/>
  <c r="AL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L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c r="AG3307" i="2"/>
  <c r="AH3307" i="2"/>
  <c r="AI3307" i="2"/>
  <c r="AL3307" i="2"/>
  <c r="AJ3307" i="2"/>
  <c r="AF3308" i="2"/>
  <c r="AK3308" i="2"/>
  <c r="AG3308" i="2"/>
  <c r="AH3308" i="2"/>
  <c r="AI3308" i="2"/>
  <c r="AJ3308" i="2"/>
  <c r="AF3309" i="2"/>
  <c r="AK3309" i="2"/>
  <c r="AL3309" i="2"/>
  <c r="AG3309" i="2"/>
  <c r="AH3309" i="2"/>
  <c r="AI3309" i="2"/>
  <c r="AJ3309" i="2"/>
  <c r="AF3310" i="2"/>
  <c r="AK3310" i="2"/>
  <c r="AG3310" i="2"/>
  <c r="AL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c r="AJ3328" i="2"/>
  <c r="AF3329" i="2"/>
  <c r="AK3329" i="2"/>
  <c r="AG3329" i="2"/>
  <c r="AH3329" i="2"/>
  <c r="AI3329" i="2"/>
  <c r="AJ3329" i="2"/>
  <c r="AF3330" i="2"/>
  <c r="AK3330" i="2"/>
  <c r="AL3330" i="2"/>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c r="AG3440" i="2"/>
  <c r="AH3440" i="2"/>
  <c r="AI3440" i="2"/>
  <c r="AJ3440" i="2"/>
  <c r="AL3440" i="2"/>
  <c r="AF3441" i="2"/>
  <c r="AK3441" i="2"/>
  <c r="AG3441" i="2"/>
  <c r="AH3441" i="2"/>
  <c r="AI3441" i="2"/>
  <c r="AJ3441" i="2"/>
  <c r="AF3442" i="2"/>
  <c r="AK3442" i="2"/>
  <c r="AL3442" i="2"/>
  <c r="AG3442" i="2"/>
  <c r="AH3442" i="2"/>
  <c r="AI3442" i="2"/>
  <c r="AJ3442" i="2"/>
  <c r="AF3443" i="2"/>
  <c r="AK3443" i="2"/>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c r="AG3465" i="2"/>
  <c r="AH3465" i="2"/>
  <c r="AI3465" i="2"/>
  <c r="AJ3465" i="2"/>
  <c r="AL3465" i="2"/>
  <c r="AF3466" i="2"/>
  <c r="AK3466" i="2"/>
  <c r="AG3466" i="2"/>
  <c r="AH3466" i="2"/>
  <c r="AI3466" i="2"/>
  <c r="AJ3466" i="2"/>
  <c r="AF3467" i="2"/>
  <c r="AK3467" i="2"/>
  <c r="AL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L3492" i="2"/>
  <c r="AG3492" i="2"/>
  <c r="AH3492" i="2"/>
  <c r="AI3492" i="2"/>
  <c r="AJ3492" i="2"/>
  <c r="AF3493" i="2"/>
  <c r="AK3493" i="2"/>
  <c r="AG3493" i="2"/>
  <c r="AH3493" i="2"/>
  <c r="AL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L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L3515" i="2"/>
  <c r="AF3516" i="2"/>
  <c r="AK3516" i="2"/>
  <c r="AG3516" i="2"/>
  <c r="AH3516" i="2"/>
  <c r="AI3516" i="2"/>
  <c r="AJ3516" i="2"/>
  <c r="AF3517" i="2"/>
  <c r="AK3517" i="2"/>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L3531" i="2"/>
  <c r="AG3531" i="2"/>
  <c r="AH3531" i="2"/>
  <c r="AI3531" i="2"/>
  <c r="AJ3531" i="2"/>
  <c r="AF3532" i="2"/>
  <c r="AK3532" i="2"/>
  <c r="AG3532" i="2"/>
  <c r="AH3532" i="2"/>
  <c r="AI3532" i="2"/>
  <c r="AL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c r="AG3611" i="2"/>
  <c r="AH3611" i="2"/>
  <c r="AI3611" i="2"/>
  <c r="AL3611" i="2"/>
  <c r="AJ3611" i="2"/>
  <c r="AF3612" i="2"/>
  <c r="AK3612" i="2"/>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L3672" i="2"/>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L3710" i="2"/>
  <c r="AJ3710" i="2"/>
  <c r="AF3711" i="2"/>
  <c r="AK3711" i="2"/>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L3716" i="2"/>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L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c r="AG3741" i="2"/>
  <c r="AH3741" i="2"/>
  <c r="AI3741" i="2"/>
  <c r="AL3741" i="2"/>
  <c r="AJ3741" i="2"/>
  <c r="AF3742" i="2"/>
  <c r="AK3742" i="2"/>
  <c r="AG3742" i="2"/>
  <c r="AH3742" i="2"/>
  <c r="AI3742" i="2"/>
  <c r="AJ3742" i="2"/>
  <c r="AF3743" i="2"/>
  <c r="AK3743" i="2"/>
  <c r="AL3743" i="2"/>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L3758" i="2"/>
  <c r="AJ3758" i="2"/>
  <c r="AF3759" i="2"/>
  <c r="AK3759" i="2"/>
  <c r="AG3759" i="2"/>
  <c r="AH3759" i="2"/>
  <c r="AI3759" i="2"/>
  <c r="AJ3759" i="2"/>
  <c r="AF3760" i="2"/>
  <c r="AK3760" i="2"/>
  <c r="AL3760" i="2"/>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c r="AG3771" i="2"/>
  <c r="AH3771" i="2"/>
  <c r="AI3771" i="2"/>
  <c r="AJ3771" i="2"/>
  <c r="AF3772" i="2"/>
  <c r="AK3772" i="2"/>
  <c r="AG3772" i="2"/>
  <c r="AH3772" i="2"/>
  <c r="AI3772" i="2"/>
  <c r="AJ3772" i="2"/>
  <c r="AF3773" i="2"/>
  <c r="AK3773" i="2"/>
  <c r="AG3773" i="2"/>
  <c r="AH3773" i="2"/>
  <c r="AI3773" i="2"/>
  <c r="AJ3773" i="2"/>
  <c r="AF3774" i="2"/>
  <c r="AK3774" i="2"/>
  <c r="AG3774" i="2"/>
  <c r="AL3774" i="2"/>
  <c r="AH3774" i="2"/>
  <c r="AI3774" i="2"/>
  <c r="AJ3774" i="2"/>
  <c r="AF3775" i="2"/>
  <c r="AK3775" i="2"/>
  <c r="AL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c r="AI3883" i="2"/>
  <c r="AJ3883" i="2"/>
  <c r="AF3884" i="2"/>
  <c r="AK3884" i="2"/>
  <c r="AG3884" i="2"/>
  <c r="AL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L3892" i="2"/>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c r="AG3900" i="2"/>
  <c r="AL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c r="AF3926" i="2"/>
  <c r="AK3926" i="2"/>
  <c r="AG3926" i="2"/>
  <c r="AH3926" i="2"/>
  <c r="AI3926" i="2"/>
  <c r="AJ3926" i="2"/>
  <c r="AF3927" i="2"/>
  <c r="AK3927" i="2"/>
  <c r="AG3927" i="2"/>
  <c r="AL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c r="AG3948" i="2"/>
  <c r="AL3948" i="2"/>
  <c r="AH3948" i="2"/>
  <c r="AI3948" i="2"/>
  <c r="AJ3948" i="2"/>
  <c r="AF3949" i="2"/>
  <c r="AK3949" i="2"/>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L3953" i="2"/>
  <c r="AG3953" i="2"/>
  <c r="AH3953" i="2"/>
  <c r="AI3953" i="2"/>
  <c r="AJ3953" i="2"/>
  <c r="AF3954" i="2"/>
  <c r="AK3954" i="2"/>
  <c r="AG3954" i="2"/>
  <c r="AH3954" i="2"/>
  <c r="AI3954" i="2"/>
  <c r="AJ3954" i="2"/>
  <c r="AF3955" i="2"/>
  <c r="AK3955" i="2"/>
  <c r="AL3955" i="2"/>
  <c r="AG3955" i="2"/>
  <c r="AH3955" i="2"/>
  <c r="AI3955" i="2"/>
  <c r="AJ3955" i="2"/>
  <c r="AF3956" i="2"/>
  <c r="AK3956" i="2"/>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L4043" i="2"/>
  <c r="AI4043" i="2"/>
  <c r="AJ4043" i="2"/>
  <c r="AF4044" i="2"/>
  <c r="AK4044" i="2"/>
  <c r="AG4044" i="2"/>
  <c r="AH4044" i="2"/>
  <c r="AI4044" i="2"/>
  <c r="AJ4044" i="2"/>
  <c r="AF4045" i="2"/>
  <c r="AK4045" i="2"/>
  <c r="AG4045" i="2"/>
  <c r="AH4045" i="2"/>
  <c r="AI4045" i="2"/>
  <c r="AJ4045" i="2"/>
  <c r="AF4046" i="2"/>
  <c r="AK4046" i="2"/>
  <c r="AL4046" i="2"/>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c r="AG4115" i="2"/>
  <c r="AH4115" i="2"/>
  <c r="AI4115" i="2"/>
  <c r="AJ4115" i="2"/>
  <c r="AF4116" i="2"/>
  <c r="AK4116" i="2"/>
  <c r="AG4116" i="2"/>
  <c r="AL4116" i="2"/>
  <c r="AH4116" i="2"/>
  <c r="AI4116" i="2"/>
  <c r="AJ4116" i="2"/>
  <c r="AF4117" i="2"/>
  <c r="AG4117" i="2"/>
  <c r="AH4117" i="2"/>
  <c r="AI4117" i="2"/>
  <c r="AL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L4122" i="2"/>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c r="AG4147" i="2"/>
  <c r="AL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L4156" i="2"/>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c r="AG4191" i="2"/>
  <c r="AH4191" i="2"/>
  <c r="AI4191" i="2"/>
  <c r="AJ4191" i="2"/>
  <c r="AF4192" i="2"/>
  <c r="AK4192" i="2"/>
  <c r="AG4192" i="2"/>
  <c r="AH4192" i="2"/>
  <c r="AI4192" i="2"/>
  <c r="AJ4192" i="2"/>
  <c r="AL4192" i="2"/>
  <c r="AF4193" i="2"/>
  <c r="AK4193" i="2"/>
  <c r="AG4193" i="2"/>
  <c r="AH4193" i="2"/>
  <c r="AI4193" i="2"/>
  <c r="AJ4193" i="2"/>
  <c r="AF4194" i="2"/>
  <c r="AK4194" i="2"/>
  <c r="AL4194" i="2"/>
  <c r="AG4194" i="2"/>
  <c r="AH4194" i="2"/>
  <c r="AI4194" i="2"/>
  <c r="AJ4194" i="2"/>
  <c r="AF4195" i="2"/>
  <c r="AK4195" i="2"/>
  <c r="AG4195" i="2"/>
  <c r="AH4195" i="2"/>
  <c r="AL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L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L4256" i="2"/>
  <c r="AG4256" i="2"/>
  <c r="AH4256" i="2"/>
  <c r="AI4256" i="2"/>
  <c r="AJ4256" i="2"/>
  <c r="AF4257" i="2"/>
  <c r="AK4257" i="2"/>
  <c r="AL4257" i="2"/>
  <c r="AG4257" i="2"/>
  <c r="AH4257" i="2"/>
  <c r="AI4257" i="2"/>
  <c r="AJ4257" i="2"/>
  <c r="AF4258" i="2"/>
  <c r="AK4258" i="2"/>
  <c r="AG4258" i="2"/>
  <c r="AL4258" i="2"/>
  <c r="AH4258" i="2"/>
  <c r="AI4258" i="2"/>
  <c r="AJ4258" i="2"/>
  <c r="AF4259" i="2"/>
  <c r="AK4259" i="2"/>
  <c r="AG4259" i="2"/>
  <c r="AH4259" i="2"/>
  <c r="AL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L4270" i="2"/>
  <c r="AI4270" i="2"/>
  <c r="AJ4270" i="2"/>
  <c r="AK4270" i="2"/>
  <c r="AF4271" i="2"/>
  <c r="AK4271" i="2"/>
  <c r="AG4271" i="2"/>
  <c r="AH4271" i="2"/>
  <c r="AI4271" i="2"/>
  <c r="AL4271" i="2"/>
  <c r="AJ4271" i="2"/>
  <c r="AF4272" i="2"/>
  <c r="AK4272" i="2"/>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L4294" i="2"/>
  <c r="AG4294" i="2"/>
  <c r="AH4294" i="2"/>
  <c r="AI4294" i="2"/>
  <c r="AJ4294" i="2"/>
  <c r="AF4295" i="2"/>
  <c r="AK4295" i="2"/>
  <c r="AG4295" i="2"/>
  <c r="AH4295" i="2"/>
  <c r="AL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L4354" i="2"/>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c r="AG4361" i="2"/>
  <c r="AH4361" i="2"/>
  <c r="AI4361" i="2"/>
  <c r="AL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L4371" i="2"/>
  <c r="AI4371" i="2"/>
  <c r="AJ4371" i="2"/>
  <c r="AF4372" i="2"/>
  <c r="AK4372" i="2"/>
  <c r="AL4372" i="2"/>
  <c r="AG4372" i="2"/>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L4402" i="2"/>
  <c r="AH4402" i="2"/>
  <c r="AI4402" i="2"/>
  <c r="AJ4402" i="2"/>
  <c r="AF4403" i="2"/>
  <c r="AK4403" i="2"/>
  <c r="AG4403" i="2"/>
  <c r="AL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L4406" i="2"/>
  <c r="AK4406" i="2"/>
  <c r="AF4407" i="2"/>
  <c r="AK4407" i="2"/>
  <c r="AG4407" i="2"/>
  <c r="AH4407" i="2"/>
  <c r="AL4407" i="2"/>
  <c r="AI4407" i="2"/>
  <c r="AJ4407" i="2"/>
  <c r="AF4408" i="2"/>
  <c r="AK4408" i="2"/>
  <c r="AL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L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c r="AL4421" i="2"/>
  <c r="AG4421" i="2"/>
  <c r="AH4421" i="2"/>
  <c r="AI4421" i="2"/>
  <c r="AJ4421" i="2"/>
  <c r="AF4422" i="2"/>
  <c r="AK4422" i="2"/>
  <c r="AG4422" i="2"/>
  <c r="AL4422" i="2"/>
  <c r="AH4422" i="2"/>
  <c r="AI4422" i="2"/>
  <c r="AJ4422" i="2"/>
  <c r="AF4423" i="2"/>
  <c r="AK4423" i="2"/>
  <c r="AG4423" i="2"/>
  <c r="AL4423" i="2"/>
  <c r="AH4423" i="2"/>
  <c r="AI4423" i="2"/>
  <c r="AJ4423" i="2"/>
  <c r="AF4424" i="2"/>
  <c r="AK4424" i="2"/>
  <c r="AG4424" i="2"/>
  <c r="AL4424" i="2"/>
  <c r="AH4424" i="2"/>
  <c r="AI4424" i="2"/>
  <c r="AJ4424" i="2"/>
  <c r="AF4425" i="2"/>
  <c r="AK4425" i="2"/>
  <c r="AG4425" i="2"/>
  <c r="AH4425" i="2"/>
  <c r="AI4425" i="2"/>
  <c r="AJ4425" i="2"/>
  <c r="AF4426" i="2"/>
  <c r="AK4426" i="2"/>
  <c r="AG4426" i="2"/>
  <c r="AL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c r="AI4430" i="2"/>
  <c r="AJ4430" i="2"/>
  <c r="AF4431" i="2"/>
  <c r="AK4431" i="2"/>
  <c r="AG4431" i="2"/>
  <c r="AH4431" i="2"/>
  <c r="AI4431" i="2"/>
  <c r="AJ4431" i="2"/>
  <c r="AF4432" i="2"/>
  <c r="AK4432" i="2"/>
  <c r="AL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L4435" i="2"/>
  <c r="AJ4435" i="2"/>
  <c r="AF4436" i="2"/>
  <c r="AK4436" i="2"/>
  <c r="AG4436" i="2"/>
  <c r="AH4436" i="2"/>
  <c r="AI4436" i="2"/>
  <c r="AJ4436" i="2"/>
  <c r="AF4437" i="2"/>
  <c r="AK4437" i="2"/>
  <c r="AL4437" i="2"/>
  <c r="AG4437" i="2"/>
  <c r="AH4437" i="2"/>
  <c r="AI4437" i="2"/>
  <c r="AJ4437" i="2"/>
  <c r="AF4438" i="2"/>
  <c r="AK4438" i="2"/>
  <c r="AG4438" i="2"/>
  <c r="AL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c r="AG4449" i="2"/>
  <c r="AH4449" i="2"/>
  <c r="AI4449" i="2"/>
  <c r="AJ4449" i="2"/>
  <c r="AF4450" i="2"/>
  <c r="AK4450" i="2"/>
  <c r="AG4450" i="2"/>
  <c r="AL4450" i="2"/>
  <c r="AH4450" i="2"/>
  <c r="AI4450" i="2"/>
  <c r="AJ4450" i="2"/>
  <c r="AF4451" i="2"/>
  <c r="AK4451" i="2"/>
  <c r="AG4451" i="2"/>
  <c r="AH4451" i="2"/>
  <c r="AI4451" i="2"/>
  <c r="AL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c r="AG4458" i="2"/>
  <c r="AH4458" i="2"/>
  <c r="AL4458" i="2"/>
  <c r="AI4458" i="2"/>
  <c r="AJ4458" i="2"/>
  <c r="AF4459" i="2"/>
  <c r="AK4459" i="2"/>
  <c r="AG4459" i="2"/>
  <c r="AH4459" i="2"/>
  <c r="AI4459" i="2"/>
  <c r="AJ4459" i="2"/>
  <c r="AF4460" i="2"/>
  <c r="AK4460" i="2"/>
  <c r="AG4460" i="2"/>
  <c r="AH4460" i="2"/>
  <c r="AL4460" i="2"/>
  <c r="AI4460" i="2"/>
  <c r="AJ4460" i="2"/>
  <c r="AF4461" i="2"/>
  <c r="AK4461" i="2"/>
  <c r="AG4461" i="2"/>
  <c r="AH4461" i="2"/>
  <c r="AI4461" i="2"/>
  <c r="AJ4461" i="2"/>
  <c r="AF4462" i="2"/>
  <c r="AK4462" i="2"/>
  <c r="AG4462" i="2"/>
  <c r="AH4462" i="2"/>
  <c r="AI4462" i="2"/>
  <c r="AJ4462" i="2"/>
  <c r="AL4462" i="2"/>
  <c r="AF4463" i="2"/>
  <c r="AK4463" i="2"/>
  <c r="AL4463" i="2"/>
  <c r="AG4463" i="2"/>
  <c r="AH4463" i="2"/>
  <c r="AI4463" i="2"/>
  <c r="AJ4463" i="2"/>
  <c r="AF4464" i="2"/>
  <c r="AK4464" i="2"/>
  <c r="AG4464" i="2"/>
  <c r="AL4464" i="2"/>
  <c r="AH4464" i="2"/>
  <c r="AI4464" i="2"/>
  <c r="AJ4464" i="2"/>
  <c r="AF4465" i="2"/>
  <c r="AK4465" i="2"/>
  <c r="AG4465" i="2"/>
  <c r="AH4465" i="2"/>
  <c r="AI4465" i="2"/>
  <c r="AJ4465" i="2"/>
  <c r="AL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c r="AG4472" i="2"/>
  <c r="AH4472" i="2"/>
  <c r="AL4472" i="2"/>
  <c r="AI4472" i="2"/>
  <c r="AJ4472" i="2"/>
  <c r="AF4473" i="2"/>
  <c r="AK4473" i="2"/>
  <c r="AL4473" i="2"/>
  <c r="AG4473" i="2"/>
  <c r="AH4473" i="2"/>
  <c r="AI4473" i="2"/>
  <c r="AJ4473" i="2"/>
  <c r="AF4474" i="2"/>
  <c r="AK4474" i="2"/>
  <c r="AG4474" i="2"/>
  <c r="AL4474" i="2"/>
  <c r="AH4474" i="2"/>
  <c r="AI4474" i="2"/>
  <c r="AJ4474" i="2"/>
  <c r="AF4475" i="2"/>
  <c r="AK4475" i="2"/>
  <c r="AG4475" i="2"/>
  <c r="AL4475" i="2"/>
  <c r="AH4475" i="2"/>
  <c r="AI4475" i="2"/>
  <c r="AJ4475" i="2"/>
  <c r="AF4476" i="2"/>
  <c r="AK4476" i="2"/>
  <c r="AG4476" i="2"/>
  <c r="AL4476" i="2"/>
  <c r="AH4476" i="2"/>
  <c r="AI4476" i="2"/>
  <c r="AJ4476" i="2"/>
  <c r="AF4477" i="2"/>
  <c r="AK4477" i="2"/>
  <c r="AG4477" i="2"/>
  <c r="AH4477" i="2"/>
  <c r="AI4477" i="2"/>
  <c r="AL4477" i="2"/>
  <c r="AJ4477" i="2"/>
  <c r="AF4478" i="2"/>
  <c r="AK4478" i="2"/>
  <c r="AG4478" i="2"/>
  <c r="AH4478" i="2"/>
  <c r="AI4478" i="2"/>
  <c r="AJ4478" i="2"/>
  <c r="AF4479" i="2"/>
  <c r="AK4479" i="2"/>
  <c r="AG4479" i="2"/>
  <c r="AH4479" i="2"/>
  <c r="AI4479" i="2"/>
  <c r="AJ4479" i="2"/>
  <c r="AF4480" i="2"/>
  <c r="AK4480" i="2"/>
  <c r="AG4480" i="2"/>
  <c r="AL4480" i="2"/>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L4488" i="2"/>
  <c r="AG4488" i="2"/>
  <c r="AH4488" i="2"/>
  <c r="AI4488" i="2"/>
  <c r="AJ4488" i="2"/>
  <c r="AF4489" i="2"/>
  <c r="AK4489" i="2"/>
  <c r="AG4489" i="2"/>
  <c r="AH4489" i="2"/>
  <c r="AI4489" i="2"/>
  <c r="AJ4489" i="2"/>
  <c r="AF4490" i="2"/>
  <c r="AK4490" i="2"/>
  <c r="AG4490" i="2"/>
  <c r="AL4490" i="2"/>
  <c r="AH4490" i="2"/>
  <c r="AI4490" i="2"/>
  <c r="AJ4490" i="2"/>
  <c r="AF4491" i="2"/>
  <c r="AK4491" i="2"/>
  <c r="AG4491" i="2"/>
  <c r="AL4491" i="2"/>
  <c r="AH4491" i="2"/>
  <c r="AI4491" i="2"/>
  <c r="AJ4491" i="2"/>
  <c r="AF4492" i="2"/>
  <c r="AK4492" i="2"/>
  <c r="AG4492" i="2"/>
  <c r="AH4492" i="2"/>
  <c r="AI4492" i="2"/>
  <c r="AL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c r="AL4499" i="2"/>
  <c r="AG4499" i="2"/>
  <c r="AH4499" i="2"/>
  <c r="AI4499" i="2"/>
  <c r="AJ4499" i="2"/>
  <c r="AF4500" i="2"/>
  <c r="AK4500" i="2"/>
  <c r="AG4500" i="2"/>
  <c r="AH4500" i="2"/>
  <c r="AI4500" i="2"/>
  <c r="AJ4500" i="2"/>
  <c r="AF4501" i="2"/>
  <c r="AK4501" i="2"/>
  <c r="AG4501" i="2"/>
  <c r="AH4501" i="2"/>
  <c r="AI4501" i="2"/>
  <c r="AJ4501" i="2"/>
  <c r="AF4502" i="2"/>
  <c r="AK4502" i="2"/>
  <c r="AL4502" i="2"/>
  <c r="AG4502" i="2"/>
  <c r="AH4502" i="2"/>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c r="AG4506" i="2"/>
  <c r="AH4506" i="2"/>
  <c r="AI4506" i="2"/>
  <c r="AJ4506" i="2"/>
  <c r="AF4507" i="2"/>
  <c r="AK4507" i="2"/>
  <c r="AG4507" i="2"/>
  <c r="AL4507" i="2"/>
  <c r="AH4507" i="2"/>
  <c r="AI4507" i="2"/>
  <c r="AJ4507" i="2"/>
  <c r="AF4508" i="2"/>
  <c r="AK4508" i="2"/>
  <c r="AG4508" i="2"/>
  <c r="AH4508" i="2"/>
  <c r="AI4508" i="2"/>
  <c r="AJ4508" i="2"/>
  <c r="AL4508" i="2"/>
  <c r="AF4509" i="2"/>
  <c r="AK4509" i="2"/>
  <c r="AG4509" i="2"/>
  <c r="AH4509" i="2"/>
  <c r="AI4509" i="2"/>
  <c r="AJ4509" i="2"/>
  <c r="AF4510" i="2"/>
  <c r="AK4510" i="2"/>
  <c r="AG4510" i="2"/>
  <c r="AL4510" i="2"/>
  <c r="AH4510" i="2"/>
  <c r="AI4510" i="2"/>
  <c r="AJ4510" i="2"/>
  <c r="AF4511" i="2"/>
  <c r="AK4511" i="2"/>
  <c r="AG4511" i="2"/>
  <c r="AH4511" i="2"/>
  <c r="AI4511" i="2"/>
  <c r="AL4511" i="2"/>
  <c r="AJ4511" i="2"/>
  <c r="AF4512" i="2"/>
  <c r="AK4512" i="2"/>
  <c r="AG4512" i="2"/>
  <c r="AH4512" i="2"/>
  <c r="AI4512" i="2"/>
  <c r="AJ4512" i="2"/>
  <c r="AF4513" i="2"/>
  <c r="AK4513" i="2"/>
  <c r="AL4513" i="2"/>
  <c r="AG4513" i="2"/>
  <c r="AH4513" i="2"/>
  <c r="AI4513" i="2"/>
  <c r="AJ4513" i="2"/>
  <c r="AF4514" i="2"/>
  <c r="AK4514" i="2"/>
  <c r="AG4514" i="2"/>
  <c r="AH4514" i="2"/>
  <c r="AL4514" i="2"/>
  <c r="AI4514" i="2"/>
  <c r="AJ4514" i="2"/>
  <c r="AF4515" i="2"/>
  <c r="AK4515" i="2"/>
  <c r="AG4515" i="2"/>
  <c r="AH4515" i="2"/>
  <c r="AI4515" i="2"/>
  <c r="AJ4515" i="2"/>
  <c r="AF4516" i="2"/>
  <c r="AK4516" i="2"/>
  <c r="AG4516" i="2"/>
  <c r="AH4516" i="2"/>
  <c r="AI4516" i="2"/>
  <c r="AJ4516" i="2"/>
  <c r="AF4517" i="2"/>
  <c r="AK4517" i="2"/>
  <c r="AG4517" i="2"/>
  <c r="AH4517" i="2"/>
  <c r="AI4517" i="2"/>
  <c r="AL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H4523" i="2"/>
  <c r="AI4523" i="2"/>
  <c r="AJ4523" i="2"/>
  <c r="AL4523" i="2"/>
  <c r="AF4524" i="2"/>
  <c r="AK4524" i="2"/>
  <c r="AG4524" i="2"/>
  <c r="AH4524" i="2"/>
  <c r="AI4524" i="2"/>
  <c r="AL4524" i="2"/>
  <c r="AJ4524" i="2"/>
  <c r="AF4525" i="2"/>
  <c r="AK4525" i="2"/>
  <c r="AG4525" i="2"/>
  <c r="AH4525" i="2"/>
  <c r="AI4525" i="2"/>
  <c r="AJ4525" i="2"/>
  <c r="AF4526" i="2"/>
  <c r="AK4526" i="2"/>
  <c r="AG4526" i="2"/>
  <c r="AH4526" i="2"/>
  <c r="AI4526" i="2"/>
  <c r="AJ4526" i="2"/>
  <c r="AF4527" i="2"/>
  <c r="AK4527" i="2"/>
  <c r="AG4527" i="2"/>
  <c r="AH4527" i="2"/>
  <c r="AI4527" i="2"/>
  <c r="AL4527" i="2"/>
  <c r="AJ4527" i="2"/>
  <c r="AF4528" i="2"/>
  <c r="AK4528" i="2"/>
  <c r="AG4528" i="2"/>
  <c r="AH4528" i="2"/>
  <c r="AI4528" i="2"/>
  <c r="AJ4528" i="2"/>
  <c r="AF4529" i="2"/>
  <c r="AK4529" i="2"/>
  <c r="AG4529" i="2"/>
  <c r="AH4529" i="2"/>
  <c r="AI4529" i="2"/>
  <c r="AJ4529" i="2"/>
  <c r="AF4530" i="2"/>
  <c r="AK4530" i="2"/>
  <c r="AG4530" i="2"/>
  <c r="AH4530" i="2"/>
  <c r="AI4530" i="2"/>
  <c r="AJ4530" i="2"/>
  <c r="AL4530" i="2"/>
  <c r="AF4531" i="2"/>
  <c r="AK4531" i="2"/>
  <c r="AG4531" i="2"/>
  <c r="AH4531" i="2"/>
  <c r="AI4531" i="2"/>
  <c r="AJ4531" i="2"/>
  <c r="AL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G4535" i="2"/>
  <c r="AH4535" i="2"/>
  <c r="AI4535" i="2"/>
  <c r="AJ4535" i="2"/>
  <c r="AL4535" i="2"/>
  <c r="AF4536" i="2"/>
  <c r="AK4536" i="2"/>
  <c r="AG4536" i="2"/>
  <c r="AH4536" i="2"/>
  <c r="AI4536" i="2"/>
  <c r="AL4536" i="2"/>
  <c r="AJ4536" i="2"/>
  <c r="AF4537" i="2"/>
  <c r="AK4537" i="2"/>
  <c r="AG4537" i="2"/>
  <c r="AH4537" i="2"/>
  <c r="AI4537" i="2"/>
  <c r="AJ4537" i="2"/>
  <c r="AF4538" i="2"/>
  <c r="AK4538" i="2"/>
  <c r="AG4538" i="2"/>
  <c r="AL4538" i="2"/>
  <c r="AH4538" i="2"/>
  <c r="AI4538" i="2"/>
  <c r="AJ4538" i="2"/>
  <c r="AF4539" i="2"/>
  <c r="AK4539" i="2"/>
  <c r="AG4539" i="2"/>
  <c r="AL4539" i="2"/>
  <c r="AH4539" i="2"/>
  <c r="AI4539" i="2"/>
  <c r="AJ4539" i="2"/>
  <c r="AF4540" i="2"/>
  <c r="AK4540" i="2"/>
  <c r="AG4540" i="2"/>
  <c r="AL4540" i="2"/>
  <c r="AH4540" i="2"/>
  <c r="AI4540" i="2"/>
  <c r="AJ4540" i="2"/>
  <c r="AF4541" i="2"/>
  <c r="AK4541" i="2"/>
  <c r="AG4541" i="2"/>
  <c r="AH4541" i="2"/>
  <c r="AI4541" i="2"/>
  <c r="AJ4541" i="2"/>
  <c r="AF4542" i="2"/>
  <c r="AK4542" i="2"/>
  <c r="AL4542" i="2"/>
  <c r="AG4542" i="2"/>
  <c r="AH4542" i="2"/>
  <c r="AI4542" i="2"/>
  <c r="AJ4542" i="2"/>
  <c r="AF4543" i="2"/>
  <c r="AK4543" i="2"/>
  <c r="AG4543" i="2"/>
  <c r="AH4543" i="2"/>
  <c r="AI4543" i="2"/>
  <c r="AJ4543" i="2"/>
  <c r="AF4544" i="2"/>
  <c r="AK4544" i="2"/>
  <c r="AL4544" i="2"/>
  <c r="AG4544" i="2"/>
  <c r="AH4544" i="2"/>
  <c r="AI4544" i="2"/>
  <c r="AJ4544" i="2"/>
  <c r="AF4545" i="2"/>
  <c r="AK4545" i="2"/>
  <c r="AG4545" i="2"/>
  <c r="AH4545" i="2"/>
  <c r="AI4545" i="2"/>
  <c r="AJ4545" i="2"/>
  <c r="AF4546" i="2"/>
  <c r="AK4546" i="2"/>
  <c r="AL4546" i="2"/>
  <c r="AG4546" i="2"/>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c r="AG4561" i="2"/>
  <c r="AL4561" i="2"/>
  <c r="AH4561" i="2"/>
  <c r="AI4561" i="2"/>
  <c r="AJ4561" i="2"/>
  <c r="AF4562" i="2"/>
  <c r="AK4562" i="2"/>
  <c r="AG4562" i="2"/>
  <c r="AL4562" i="2"/>
  <c r="AH4562" i="2"/>
  <c r="AI4562" i="2"/>
  <c r="AJ4562" i="2"/>
  <c r="AF4563" i="2"/>
  <c r="AK4563" i="2"/>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L4568" i="2"/>
  <c r="AG4568" i="2"/>
  <c r="AH4568" i="2"/>
  <c r="AI4568" i="2"/>
  <c r="AJ4568" i="2"/>
  <c r="AF4569" i="2"/>
  <c r="AK4569" i="2"/>
  <c r="AG4569" i="2"/>
  <c r="AL4569" i="2"/>
  <c r="AH4569" i="2"/>
  <c r="AI4569" i="2"/>
  <c r="AJ4569" i="2"/>
  <c r="AF4570" i="2"/>
  <c r="AK4570" i="2"/>
  <c r="AG4570" i="2"/>
  <c r="AL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L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L4593" i="2"/>
  <c r="AG4593" i="2"/>
  <c r="AH4593" i="2"/>
  <c r="AI4593" i="2"/>
  <c r="AJ4593" i="2"/>
  <c r="AF4594" i="2"/>
  <c r="AK4594" i="2"/>
  <c r="AG4594" i="2"/>
  <c r="AH4594" i="2"/>
  <c r="AI4594" i="2"/>
  <c r="AJ4594" i="2"/>
  <c r="AF4595" i="2"/>
  <c r="AK4595" i="2"/>
  <c r="AG4595" i="2"/>
  <c r="AH4595" i="2"/>
  <c r="AI4595" i="2"/>
  <c r="AL4595" i="2"/>
  <c r="AJ4595" i="2"/>
  <c r="AF4596" i="2"/>
  <c r="AK4596" i="2"/>
  <c r="AG4596" i="2"/>
  <c r="AL4596" i="2"/>
  <c r="AH4596" i="2"/>
  <c r="AI4596" i="2"/>
  <c r="AJ4596" i="2"/>
  <c r="AF4597" i="2"/>
  <c r="AK4597" i="2"/>
  <c r="AG4597" i="2"/>
  <c r="AH4597" i="2"/>
  <c r="AI4597" i="2"/>
  <c r="AJ4597" i="2"/>
  <c r="AF4598" i="2"/>
  <c r="AK4598" i="2"/>
  <c r="AG4598" i="2"/>
  <c r="AH4598" i="2"/>
  <c r="AI4598" i="2"/>
  <c r="AL4598" i="2"/>
  <c r="AJ4598" i="2"/>
  <c r="AF4599" i="2"/>
  <c r="AK4599" i="2"/>
  <c r="AG4599" i="2"/>
  <c r="AH4599" i="2"/>
  <c r="AI4599" i="2"/>
  <c r="AJ4599" i="2"/>
  <c r="AF4600" i="2"/>
  <c r="AK4600" i="2"/>
  <c r="AL4600" i="2"/>
  <c r="AG4600" i="2"/>
  <c r="AH4600" i="2"/>
  <c r="AI4600" i="2"/>
  <c r="AJ4600" i="2"/>
  <c r="AF4601" i="2"/>
  <c r="AK4601" i="2"/>
  <c r="AG4601" i="2"/>
  <c r="AH4601" i="2"/>
  <c r="AI4601" i="2"/>
  <c r="AJ4601" i="2"/>
  <c r="AF4602" i="2"/>
  <c r="AK4602" i="2"/>
  <c r="AG4602" i="2"/>
  <c r="AL4602" i="2"/>
  <c r="AH4602" i="2"/>
  <c r="AI4602" i="2"/>
  <c r="AJ4602" i="2"/>
  <c r="AF4603" i="2"/>
  <c r="AK4603" i="2"/>
  <c r="AG4603" i="2"/>
  <c r="AH4603" i="2"/>
  <c r="AI4603" i="2"/>
  <c r="AL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c r="AG4607" i="2"/>
  <c r="AL4607" i="2"/>
  <c r="AH4607" i="2"/>
  <c r="AI4607" i="2"/>
  <c r="AJ4607" i="2"/>
  <c r="AF4608" i="2"/>
  <c r="AK4608" i="2"/>
  <c r="AG4608" i="2"/>
  <c r="AH4608" i="2"/>
  <c r="AL4608" i="2"/>
  <c r="AI4608" i="2"/>
  <c r="AJ4608" i="2"/>
  <c r="AF4609" i="2"/>
  <c r="AK4609" i="2"/>
  <c r="AG4609" i="2"/>
  <c r="AH4609" i="2"/>
  <c r="AI4609" i="2"/>
  <c r="AJ4609" i="2"/>
  <c r="AF4610" i="2"/>
  <c r="AK4610" i="2"/>
  <c r="AG4610" i="2"/>
  <c r="AL4610" i="2"/>
  <c r="AH4610" i="2"/>
  <c r="AI4610" i="2"/>
  <c r="AJ4610" i="2"/>
  <c r="AF4611" i="2"/>
  <c r="AK4611" i="2"/>
  <c r="AG4611" i="2"/>
  <c r="AH4611" i="2"/>
  <c r="AI4611" i="2"/>
  <c r="AJ4611" i="2"/>
  <c r="AF4612" i="2"/>
  <c r="AK4612" i="2"/>
  <c r="AG4612" i="2"/>
  <c r="AL4612" i="2"/>
  <c r="AH4612" i="2"/>
  <c r="AI4612" i="2"/>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L4618" i="2"/>
  <c r="AI4618" i="2"/>
  <c r="AJ4618" i="2"/>
  <c r="AF4619" i="2"/>
  <c r="AK4619" i="2"/>
  <c r="AG4619" i="2"/>
  <c r="AH4619" i="2"/>
  <c r="AI4619" i="2"/>
  <c r="AJ4619" i="2"/>
  <c r="AF4620" i="2"/>
  <c r="AK4620" i="2"/>
  <c r="AG4620" i="2"/>
  <c r="AH4620" i="2"/>
  <c r="AL4620" i="2"/>
  <c r="AI4620" i="2"/>
  <c r="AJ4620" i="2"/>
  <c r="AF4621" i="2"/>
  <c r="AK4621" i="2"/>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c r="AG4626" i="2"/>
  <c r="AH4626" i="2"/>
  <c r="AL4626" i="2"/>
  <c r="AI4626" i="2"/>
  <c r="AJ4626" i="2"/>
  <c r="AF4627" i="2"/>
  <c r="AK4627" i="2"/>
  <c r="AL4627" i="2"/>
  <c r="AG4627" i="2"/>
  <c r="AH4627" i="2"/>
  <c r="AI4627" i="2"/>
  <c r="AJ4627" i="2"/>
  <c r="AF4628" i="2"/>
  <c r="AK4628" i="2"/>
  <c r="AL4628" i="2"/>
  <c r="AG4628" i="2"/>
  <c r="AH4628" i="2"/>
  <c r="AI4628" i="2"/>
  <c r="AJ4628" i="2"/>
  <c r="AF4629" i="2"/>
  <c r="AK4629" i="2"/>
  <c r="AG4629" i="2"/>
  <c r="AH4629" i="2"/>
  <c r="AI4629" i="2"/>
  <c r="AJ4629" i="2"/>
  <c r="AF4630" i="2"/>
  <c r="AK4630" i="2"/>
  <c r="AG4630" i="2"/>
  <c r="AL4630" i="2"/>
  <c r="AH4630" i="2"/>
  <c r="AI4630" i="2"/>
  <c r="AJ4630" i="2"/>
  <c r="AF4631" i="2"/>
  <c r="AK4631" i="2"/>
  <c r="AG4631" i="2"/>
  <c r="AL4631" i="2"/>
  <c r="AH4631" i="2"/>
  <c r="AI4631" i="2"/>
  <c r="AJ4631" i="2"/>
  <c r="AF4632" i="2"/>
  <c r="AK4632" i="2"/>
  <c r="AG4632" i="2"/>
  <c r="AH4632" i="2"/>
  <c r="AI4632" i="2"/>
  <c r="AJ4632" i="2"/>
  <c r="AF4633" i="2"/>
  <c r="AK4633" i="2"/>
  <c r="AG4633" i="2"/>
  <c r="AH4633" i="2"/>
  <c r="AI4633" i="2"/>
  <c r="AJ4633" i="2"/>
  <c r="AF4634" i="2"/>
  <c r="AK4634" i="2"/>
  <c r="AG4634" i="2"/>
  <c r="AH4634" i="2"/>
  <c r="AL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c r="AG4638" i="2"/>
  <c r="AH4638" i="2"/>
  <c r="AI4638" i="2"/>
  <c r="AJ4638" i="2"/>
  <c r="AF4639" i="2"/>
  <c r="AK4639" i="2"/>
  <c r="AG4639" i="2"/>
  <c r="AH4639" i="2"/>
  <c r="AI4639" i="2"/>
  <c r="AJ4639" i="2"/>
  <c r="AL4639" i="2"/>
  <c r="AF4640" i="2"/>
  <c r="AK4640" i="2"/>
  <c r="AL4640" i="2"/>
  <c r="AG4640" i="2"/>
  <c r="AH4640" i="2"/>
  <c r="AI4640" i="2"/>
  <c r="AJ4640" i="2"/>
  <c r="AF4641" i="2"/>
  <c r="AK4641" i="2"/>
  <c r="AL4641" i="2"/>
  <c r="AG4641" i="2"/>
  <c r="AH4641" i="2"/>
  <c r="AI4641" i="2"/>
  <c r="AJ4641" i="2"/>
  <c r="AF4642" i="2"/>
  <c r="AK4642" i="2"/>
  <c r="AG4642" i="2"/>
  <c r="AH4642" i="2"/>
  <c r="AL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G4650" i="2"/>
  <c r="AH4650" i="2"/>
  <c r="AI4650" i="2"/>
  <c r="AJ4650" i="2"/>
  <c r="AF4651" i="2"/>
  <c r="AK4651" i="2"/>
  <c r="AL4651" i="2"/>
  <c r="AG4651" i="2"/>
  <c r="AH4651" i="2"/>
  <c r="AI4651" i="2"/>
  <c r="AJ4651" i="2"/>
  <c r="AF4652" i="2"/>
  <c r="AK4652" i="2"/>
  <c r="AG4652" i="2"/>
  <c r="AH4652" i="2"/>
  <c r="AI4652" i="2"/>
  <c r="AL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c r="AG4656" i="2"/>
  <c r="AH4656" i="2"/>
  <c r="AI4656" i="2"/>
  <c r="AJ4656" i="2"/>
  <c r="AF4657" i="2"/>
  <c r="AK4657" i="2"/>
  <c r="AG4657" i="2"/>
  <c r="AH4657" i="2"/>
  <c r="AI4657" i="2"/>
  <c r="AL4657" i="2"/>
  <c r="AJ4657" i="2"/>
  <c r="AF4658" i="2"/>
  <c r="AK4658" i="2"/>
  <c r="AG4658" i="2"/>
  <c r="AH4658" i="2"/>
  <c r="AI4658" i="2"/>
  <c r="AJ4658" i="2"/>
  <c r="AF4659" i="2"/>
  <c r="AK4659" i="2"/>
  <c r="AG4659" i="2"/>
  <c r="AH4659" i="2"/>
  <c r="AI4659" i="2"/>
  <c r="AJ4659" i="2"/>
  <c r="AF4660" i="2"/>
  <c r="AK4660" i="2"/>
  <c r="AL4660" i="2"/>
  <c r="AG4660" i="2"/>
  <c r="AH4660" i="2"/>
  <c r="AI4660" i="2"/>
  <c r="AJ4660" i="2"/>
  <c r="AF4661" i="2"/>
  <c r="AK4661" i="2"/>
  <c r="AL4661" i="2"/>
  <c r="AG4661" i="2"/>
  <c r="AH4661" i="2"/>
  <c r="AI4661" i="2"/>
  <c r="AJ4661" i="2"/>
  <c r="AF4662" i="2"/>
  <c r="AK4662" i="2"/>
  <c r="AL4662" i="2"/>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c r="AL4667" i="2"/>
  <c r="AG4667" i="2"/>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L4672" i="2"/>
  <c r="AF4673" i="2"/>
  <c r="AK4673" i="2"/>
  <c r="AG4673" i="2"/>
  <c r="AH4673" i="2"/>
  <c r="AI4673" i="2"/>
  <c r="AL4673" i="2"/>
  <c r="AJ4673" i="2"/>
  <c r="AF4674" i="2"/>
  <c r="AK4674" i="2"/>
  <c r="AG4674" i="2"/>
  <c r="AL4674" i="2"/>
  <c r="AH4674" i="2"/>
  <c r="AI4674" i="2"/>
  <c r="AJ4674" i="2"/>
  <c r="AF4675" i="2"/>
  <c r="AK4675" i="2"/>
  <c r="AG4675" i="2"/>
  <c r="AH4675" i="2"/>
  <c r="AI4675" i="2"/>
  <c r="AJ4675" i="2"/>
  <c r="AF4676" i="2"/>
  <c r="AK4676" i="2"/>
  <c r="AG4676" i="2"/>
  <c r="AL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c r="AG4681" i="2"/>
  <c r="AH4681" i="2"/>
  <c r="AL4681" i="2"/>
  <c r="AI4681" i="2"/>
  <c r="AJ4681" i="2"/>
  <c r="AF4682" i="2"/>
  <c r="AK4682" i="2"/>
  <c r="AG4682" i="2"/>
  <c r="AH4682" i="2"/>
  <c r="AI4682" i="2"/>
  <c r="AL4682" i="2"/>
  <c r="AJ4682" i="2"/>
  <c r="AF4683" i="2"/>
  <c r="AK4683" i="2"/>
  <c r="AG4683" i="2"/>
  <c r="AL4683" i="2"/>
  <c r="AH4683" i="2"/>
  <c r="AI4683" i="2"/>
  <c r="AJ4683" i="2"/>
  <c r="AF4684" i="2"/>
  <c r="AK4684" i="2"/>
  <c r="AG4684" i="2"/>
  <c r="AH4684" i="2"/>
  <c r="AI4684" i="2"/>
  <c r="AJ4684" i="2"/>
  <c r="AF4685" i="2"/>
  <c r="AK4685" i="2"/>
  <c r="AL4685" i="2"/>
  <c r="AG4685" i="2"/>
  <c r="AH4685" i="2"/>
  <c r="AI4685" i="2"/>
  <c r="AJ4685" i="2"/>
  <c r="AF4686" i="2"/>
  <c r="AK4686" i="2"/>
  <c r="AG4686" i="2"/>
  <c r="AH4686" i="2"/>
  <c r="AI4686" i="2"/>
  <c r="AJ4686" i="2"/>
  <c r="AF4687" i="2"/>
  <c r="AK4687" i="2"/>
  <c r="AG4687" i="2"/>
  <c r="AH4687" i="2"/>
  <c r="AI4687" i="2"/>
  <c r="AL4687" i="2"/>
  <c r="AJ4687" i="2"/>
  <c r="AF4688" i="2"/>
  <c r="AK4688" i="2"/>
  <c r="AG4688" i="2"/>
  <c r="AH4688" i="2"/>
  <c r="AI4688" i="2"/>
  <c r="AJ4688" i="2"/>
  <c r="AF4689" i="2"/>
  <c r="AK4689" i="2"/>
  <c r="AG4689" i="2"/>
  <c r="AH4689" i="2"/>
  <c r="AI4689" i="2"/>
  <c r="AJ4689" i="2"/>
  <c r="AF4690" i="2"/>
  <c r="AK4690" i="2"/>
  <c r="AG4690" i="2"/>
  <c r="AH4690" i="2"/>
  <c r="AL4690" i="2"/>
  <c r="AI4690" i="2"/>
  <c r="AJ4690" i="2"/>
  <c r="AF4691" i="2"/>
  <c r="AK4691" i="2"/>
  <c r="AL4691" i="2"/>
  <c r="AG4691" i="2"/>
  <c r="AH4691" i="2"/>
  <c r="AI4691" i="2"/>
  <c r="AJ4691" i="2"/>
  <c r="AF4692" i="2"/>
  <c r="AK4692" i="2"/>
  <c r="AG4692" i="2"/>
  <c r="AL4692" i="2"/>
  <c r="AH4692" i="2"/>
  <c r="AI4692" i="2"/>
  <c r="AJ4692" i="2"/>
  <c r="AF4693" i="2"/>
  <c r="AG4693" i="2"/>
  <c r="AH4693" i="2"/>
  <c r="AI4693" i="2"/>
  <c r="AJ4693" i="2"/>
  <c r="AK4693" i="2"/>
  <c r="AL4693" i="2"/>
  <c r="AF4694" i="2"/>
  <c r="AK4694" i="2"/>
  <c r="AG4694" i="2"/>
  <c r="AH4694" i="2"/>
  <c r="AL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J4697" i="2"/>
  <c r="AF4698" i="2"/>
  <c r="AK4698" i="2"/>
  <c r="AG4698" i="2"/>
  <c r="AH4698" i="2"/>
  <c r="AI4698" i="2"/>
  <c r="AJ4698" i="2"/>
  <c r="AF4699" i="2"/>
  <c r="AK4699" i="2"/>
  <c r="AG4699" i="2"/>
  <c r="AH4699" i="2"/>
  <c r="AL4699" i="2"/>
  <c r="AI4699" i="2"/>
  <c r="AJ4699" i="2"/>
  <c r="AF4700" i="2"/>
  <c r="AK4700" i="2"/>
  <c r="AL4700" i="2"/>
  <c r="AG4700" i="2"/>
  <c r="AH4700" i="2"/>
  <c r="AI4700" i="2"/>
  <c r="AJ4700" i="2"/>
  <c r="AF4701" i="2"/>
  <c r="AK4701" i="2"/>
  <c r="AL4701" i="2"/>
  <c r="AG4701" i="2"/>
  <c r="AH4701" i="2"/>
  <c r="AI4701" i="2"/>
  <c r="AJ4701" i="2"/>
  <c r="AF4702" i="2"/>
  <c r="AK4702" i="2"/>
  <c r="AG4702" i="2"/>
  <c r="AL4702" i="2"/>
  <c r="AH4702" i="2"/>
  <c r="AI4702" i="2"/>
  <c r="AJ4702" i="2"/>
  <c r="AF4703" i="2"/>
  <c r="AK4703" i="2"/>
  <c r="AG4703" i="2"/>
  <c r="AH4703" i="2"/>
  <c r="AI4703" i="2"/>
  <c r="AL4703" i="2"/>
  <c r="AJ4703" i="2"/>
  <c r="AF4704" i="2"/>
  <c r="AK4704" i="2"/>
  <c r="AG4704" i="2"/>
  <c r="AH4704" i="2"/>
  <c r="AI4704" i="2"/>
  <c r="AJ4704" i="2"/>
  <c r="AF4705" i="2"/>
  <c r="AK4705" i="2"/>
  <c r="AL4705" i="2"/>
  <c r="AG4705" i="2"/>
  <c r="AH4705" i="2"/>
  <c r="AI4705" i="2"/>
  <c r="AJ4705" i="2"/>
  <c r="AF4706" i="2"/>
  <c r="AK4706" i="2"/>
  <c r="AG4706" i="2"/>
  <c r="AH4706" i="2"/>
  <c r="AI4706" i="2"/>
  <c r="AJ4706" i="2"/>
  <c r="AF4707" i="2"/>
  <c r="AK4707" i="2"/>
  <c r="AG4707" i="2"/>
  <c r="AL4707" i="2"/>
  <c r="AH4707" i="2"/>
  <c r="AI4707" i="2"/>
  <c r="AJ4707" i="2"/>
  <c r="AF4708" i="2"/>
  <c r="AK4708" i="2"/>
  <c r="AG4708" i="2"/>
  <c r="AH4708" i="2"/>
  <c r="AL4708" i="2"/>
  <c r="AI4708" i="2"/>
  <c r="AJ4708" i="2"/>
  <c r="AF4709" i="2"/>
  <c r="AK4709" i="2"/>
  <c r="AG4709" i="2"/>
  <c r="AL4709" i="2"/>
  <c r="AH4709" i="2"/>
  <c r="AI4709" i="2"/>
  <c r="AJ4709" i="2"/>
  <c r="AF4710" i="2"/>
  <c r="AK4710" i="2"/>
  <c r="AG4710" i="2"/>
  <c r="AL4710" i="2"/>
  <c r="AH4710" i="2"/>
  <c r="AI4710" i="2"/>
  <c r="AJ4710" i="2"/>
  <c r="AF4711" i="2"/>
  <c r="AG4711" i="2"/>
  <c r="AH4711" i="2"/>
  <c r="AI4711" i="2"/>
  <c r="AJ4711" i="2"/>
  <c r="AK4711" i="2"/>
  <c r="AF4712" i="2"/>
  <c r="AK4712" i="2"/>
  <c r="AG4712" i="2"/>
  <c r="AH4712" i="2"/>
  <c r="AI4712" i="2"/>
  <c r="AJ4712" i="2"/>
  <c r="AL4712" i="2"/>
  <c r="AF4713" i="2"/>
  <c r="AK4713" i="2"/>
  <c r="AG4713" i="2"/>
  <c r="AL4713" i="2"/>
  <c r="AH4713" i="2"/>
  <c r="AI4713" i="2"/>
  <c r="AJ4713" i="2"/>
  <c r="AF4714" i="2"/>
  <c r="AK4714" i="2"/>
  <c r="AG4714" i="2"/>
  <c r="AH4714" i="2"/>
  <c r="AI4714" i="2"/>
  <c r="AL4714" i="2"/>
  <c r="AJ4714" i="2"/>
  <c r="AF4715" i="2"/>
  <c r="AK4715" i="2"/>
  <c r="AG4715" i="2"/>
  <c r="AL4715" i="2"/>
  <c r="AH4715" i="2"/>
  <c r="AI4715" i="2"/>
  <c r="AJ4715" i="2"/>
  <c r="AF4716" i="2"/>
  <c r="AK4716" i="2"/>
  <c r="AG4716" i="2"/>
  <c r="AH4716" i="2"/>
  <c r="AI4716" i="2"/>
  <c r="AJ4716" i="2"/>
  <c r="AF4717" i="2"/>
  <c r="AK4717" i="2"/>
  <c r="AG4717" i="2"/>
  <c r="AL4717" i="2"/>
  <c r="AH4717" i="2"/>
  <c r="AI4717" i="2"/>
  <c r="AJ4717" i="2"/>
  <c r="AF4718" i="2"/>
  <c r="AK4718" i="2"/>
  <c r="AG4718" i="2"/>
  <c r="AL4718" i="2"/>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c r="AG4722" i="2"/>
  <c r="AH4722" i="2"/>
  <c r="AI4722" i="2"/>
  <c r="AL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L4726" i="2"/>
  <c r="AF4727" i="2"/>
  <c r="AK4727" i="2"/>
  <c r="AG4727" i="2"/>
  <c r="AH4727" i="2"/>
  <c r="AL4727" i="2"/>
  <c r="AI4727" i="2"/>
  <c r="AJ4727" i="2"/>
  <c r="AF4728" i="2"/>
  <c r="AK4728" i="2"/>
  <c r="AL4728" i="2"/>
  <c r="AG4728" i="2"/>
  <c r="AH4728" i="2"/>
  <c r="AI4728" i="2"/>
  <c r="AJ4728" i="2"/>
  <c r="AF4729" i="2"/>
  <c r="AK4729" i="2"/>
  <c r="AL4729" i="2"/>
  <c r="AG4729" i="2"/>
  <c r="AH4729" i="2"/>
  <c r="AI4729" i="2"/>
  <c r="AJ4729" i="2"/>
  <c r="AF4730" i="2"/>
  <c r="AK4730" i="2"/>
  <c r="AG4730" i="2"/>
  <c r="AH4730" i="2"/>
  <c r="AI4730" i="2"/>
  <c r="AJ4730" i="2"/>
  <c r="AF4731" i="2"/>
  <c r="AK4731" i="2"/>
  <c r="AL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L4739" i="2"/>
  <c r="AH4739" i="2"/>
  <c r="AI4739" i="2"/>
  <c r="AJ4739" i="2"/>
  <c r="AF4740" i="2"/>
  <c r="AK4740" i="2"/>
  <c r="AG4740" i="2"/>
  <c r="AL4740" i="2"/>
  <c r="AH4740" i="2"/>
  <c r="AI4740" i="2"/>
  <c r="AJ4740" i="2"/>
  <c r="AF4741" i="2"/>
  <c r="AK4741" i="2"/>
  <c r="AG4741" i="2"/>
  <c r="AL4741" i="2"/>
  <c r="AH4741" i="2"/>
  <c r="AI4741" i="2"/>
  <c r="AJ4741" i="2"/>
  <c r="AF4742" i="2"/>
  <c r="AK4742" i="2"/>
  <c r="AG4742" i="2"/>
  <c r="AL4742" i="2"/>
  <c r="AH4742" i="2"/>
  <c r="AI4742" i="2"/>
  <c r="AJ4742" i="2"/>
  <c r="AF4743" i="2"/>
  <c r="AK4743" i="2"/>
  <c r="AG4743" i="2"/>
  <c r="AH4743" i="2"/>
  <c r="AI4743" i="2"/>
  <c r="AJ4743" i="2"/>
  <c r="AL4743" i="2"/>
  <c r="AF4744" i="2"/>
  <c r="AK4744" i="2"/>
  <c r="AG4744" i="2"/>
  <c r="AH4744" i="2"/>
  <c r="AL4744" i="2"/>
  <c r="AI4744" i="2"/>
  <c r="AJ4744" i="2"/>
  <c r="AF4745" i="2"/>
  <c r="AK4745" i="2"/>
  <c r="AL4745" i="2"/>
  <c r="AG4745" i="2"/>
  <c r="AH4745" i="2"/>
  <c r="AI4745" i="2"/>
  <c r="AJ4745" i="2"/>
  <c r="AF4746" i="2"/>
  <c r="AK4746" i="2"/>
  <c r="AL4746" i="2"/>
  <c r="AG4746" i="2"/>
  <c r="AH4746" i="2"/>
  <c r="AI4746" i="2"/>
  <c r="AJ4746" i="2"/>
  <c r="AF4747" i="2"/>
  <c r="AK4747" i="2"/>
  <c r="AL4747" i="2"/>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L4754" i="2"/>
  <c r="AF4755" i="2"/>
  <c r="AK4755" i="2"/>
  <c r="AG4755" i="2"/>
  <c r="AH4755" i="2"/>
  <c r="AL4755" i="2"/>
  <c r="AI4755" i="2"/>
  <c r="AJ4755" i="2"/>
  <c r="AF4756" i="2"/>
  <c r="AK4756" i="2"/>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L4761" i="2"/>
  <c r="AH4761" i="2"/>
  <c r="AI4761" i="2"/>
  <c r="AJ4761" i="2"/>
  <c r="AF4762" i="2"/>
  <c r="AK4762" i="2"/>
  <c r="AG4762" i="2"/>
  <c r="AL4762" i="2"/>
  <c r="AH4762" i="2"/>
  <c r="AI4762" i="2"/>
  <c r="AJ4762" i="2"/>
  <c r="AF4763" i="2"/>
  <c r="AK4763" i="2"/>
  <c r="AL4763" i="2"/>
  <c r="AG4763" i="2"/>
  <c r="AH4763" i="2"/>
  <c r="AI4763" i="2"/>
  <c r="AJ4763" i="2"/>
  <c r="AF4764" i="2"/>
  <c r="AK4764" i="2"/>
  <c r="AG4764" i="2"/>
  <c r="AL4764" i="2"/>
  <c r="AH4764" i="2"/>
  <c r="AI4764" i="2"/>
  <c r="AJ4764" i="2"/>
  <c r="AF4765" i="2"/>
  <c r="AK4765" i="2"/>
  <c r="AG4765" i="2"/>
  <c r="AL4765" i="2"/>
  <c r="AH4765" i="2"/>
  <c r="AI4765" i="2"/>
  <c r="AJ4765" i="2"/>
  <c r="AF4766" i="2"/>
  <c r="AK4766" i="2"/>
  <c r="AG4766" i="2"/>
  <c r="AH4766" i="2"/>
  <c r="AI4766" i="2"/>
  <c r="AJ4766" i="2"/>
  <c r="AF4767" i="2"/>
  <c r="AK4767" i="2"/>
  <c r="AG4767" i="2"/>
  <c r="AH4767" i="2"/>
  <c r="AL4767" i="2"/>
  <c r="AI4767" i="2"/>
  <c r="AJ4767" i="2"/>
  <c r="AF4768" i="2"/>
  <c r="AK4768" i="2"/>
  <c r="AL4768" i="2"/>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c r="AL4775" i="2"/>
  <c r="AG4775" i="2"/>
  <c r="AH4775" i="2"/>
  <c r="AI4775" i="2"/>
  <c r="AJ4775" i="2"/>
  <c r="AF4776" i="2"/>
  <c r="AK4776" i="2"/>
  <c r="AL4776" i="2"/>
  <c r="AG4776" i="2"/>
  <c r="AH4776" i="2"/>
  <c r="AI4776" i="2"/>
  <c r="AJ4776" i="2"/>
  <c r="AF4777" i="2"/>
  <c r="AK4777" i="2"/>
  <c r="AL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L4781" i="2"/>
  <c r="AI4781" i="2"/>
  <c r="AJ4781" i="2"/>
  <c r="AF4782" i="2"/>
  <c r="AK4782" i="2"/>
  <c r="AL4782" i="2"/>
  <c r="AG4782" i="2"/>
  <c r="AH4782" i="2"/>
  <c r="AI4782" i="2"/>
  <c r="AJ4782" i="2"/>
  <c r="AF4783" i="2"/>
  <c r="AK4783" i="2"/>
  <c r="AG4783" i="2"/>
  <c r="AL4783" i="2"/>
  <c r="AH4783" i="2"/>
  <c r="AI4783" i="2"/>
  <c r="AJ4783" i="2"/>
  <c r="AF4784" i="2"/>
  <c r="AK4784" i="2"/>
  <c r="AG4784" i="2"/>
  <c r="AH4784" i="2"/>
  <c r="AI4784" i="2"/>
  <c r="AL4784" i="2"/>
  <c r="AJ4784" i="2"/>
  <c r="AF4785" i="2"/>
  <c r="AK4785" i="2"/>
  <c r="AG4785" i="2"/>
  <c r="AH4785" i="2"/>
  <c r="AI4785" i="2"/>
  <c r="AJ4785" i="2"/>
  <c r="AF4786" i="2"/>
  <c r="AK4786" i="2"/>
  <c r="AG4786" i="2"/>
  <c r="AH4786" i="2"/>
  <c r="AI4786" i="2"/>
  <c r="AJ4786" i="2"/>
  <c r="AF4787" i="2"/>
  <c r="AK4787" i="2"/>
  <c r="AL4787" i="2"/>
  <c r="AG4787" i="2"/>
  <c r="AH4787" i="2"/>
  <c r="AI4787" i="2"/>
  <c r="AJ4787" i="2"/>
  <c r="AF4788" i="2"/>
  <c r="AK4788" i="2"/>
  <c r="AG4788" i="2"/>
  <c r="AH4788" i="2"/>
  <c r="AL4788" i="2"/>
  <c r="AI4788" i="2"/>
  <c r="AJ4788" i="2"/>
  <c r="AF4789" i="2"/>
  <c r="AK4789" i="2"/>
  <c r="AG4789" i="2"/>
  <c r="AH4789" i="2"/>
  <c r="AI4789" i="2"/>
  <c r="AJ4789" i="2"/>
  <c r="AF4790" i="2"/>
  <c r="AK4790" i="2"/>
  <c r="AG4790" i="2"/>
  <c r="AL4790" i="2"/>
  <c r="AH4790" i="2"/>
  <c r="AI4790" i="2"/>
  <c r="AJ4790" i="2"/>
  <c r="AF4791" i="2"/>
  <c r="AK4791" i="2"/>
  <c r="AG4791" i="2"/>
  <c r="AL4791" i="2"/>
  <c r="AH4791" i="2"/>
  <c r="AI4791" i="2"/>
  <c r="AJ4791" i="2"/>
  <c r="AF4792" i="2"/>
  <c r="AK4792" i="2"/>
  <c r="AL4792" i="2"/>
  <c r="AG4792" i="2"/>
  <c r="AH4792" i="2"/>
  <c r="AI4792" i="2"/>
  <c r="AJ4792" i="2"/>
  <c r="AF4793" i="2"/>
  <c r="AK4793" i="2"/>
  <c r="AL4793" i="2"/>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L4800" i="2"/>
  <c r="AF4801" i="2"/>
  <c r="AK4801" i="2"/>
  <c r="AG4801" i="2"/>
  <c r="AH4801" i="2"/>
  <c r="AL4801" i="2"/>
  <c r="AI4801" i="2"/>
  <c r="AJ4801" i="2"/>
  <c r="AF4802" i="2"/>
  <c r="AK4802" i="2"/>
  <c r="AG4802" i="2"/>
  <c r="AH4802" i="2"/>
  <c r="AI4802" i="2"/>
  <c r="AJ4802" i="2"/>
  <c r="AF4803" i="2"/>
  <c r="AK4803" i="2"/>
  <c r="AL4803" i="2"/>
  <c r="AG4803" i="2"/>
  <c r="AH4803" i="2"/>
  <c r="AI4803" i="2"/>
  <c r="AJ4803" i="2"/>
  <c r="AF4804" i="2"/>
  <c r="AK4804" i="2"/>
  <c r="AG4804" i="2"/>
  <c r="AH4804" i="2"/>
  <c r="AI4804" i="2"/>
  <c r="AJ4804" i="2"/>
  <c r="AF4805" i="2"/>
  <c r="AK4805" i="2"/>
  <c r="AG4805" i="2"/>
  <c r="AH4805" i="2"/>
  <c r="AI4805" i="2"/>
  <c r="AL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c r="AG4809" i="2"/>
  <c r="AL4809" i="2"/>
  <c r="AH4809" i="2"/>
  <c r="AI4809" i="2"/>
  <c r="AJ4809" i="2"/>
  <c r="AF4810" i="2"/>
  <c r="AK4810" i="2"/>
  <c r="AG4810" i="2"/>
  <c r="AL4810" i="2"/>
  <c r="AH4810" i="2"/>
  <c r="AI4810" i="2"/>
  <c r="AJ4810" i="2"/>
  <c r="AF4811" i="2"/>
  <c r="AK4811" i="2"/>
  <c r="AG4811" i="2"/>
  <c r="AH4811" i="2"/>
  <c r="AI4811" i="2"/>
  <c r="AJ4811" i="2"/>
  <c r="AF4812" i="2"/>
  <c r="AK4812" i="2"/>
  <c r="AG4812" i="2"/>
  <c r="AH4812" i="2"/>
  <c r="AL4812" i="2"/>
  <c r="AI4812" i="2"/>
  <c r="AJ4812" i="2"/>
  <c r="AF4813" i="2"/>
  <c r="AK4813" i="2"/>
  <c r="AG4813" i="2"/>
  <c r="AH4813" i="2"/>
  <c r="AI4813" i="2"/>
  <c r="AJ4813" i="2"/>
  <c r="AF4814" i="2"/>
  <c r="AK4814" i="2"/>
  <c r="AL4814" i="2"/>
  <c r="AG4814" i="2"/>
  <c r="AH4814" i="2"/>
  <c r="AI4814" i="2"/>
  <c r="AJ4814" i="2"/>
  <c r="AF4815" i="2"/>
  <c r="AK4815" i="2"/>
  <c r="AL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c r="AG4821" i="2"/>
  <c r="AH4821" i="2"/>
  <c r="AI4821" i="2"/>
  <c r="AJ4821" i="2"/>
  <c r="AF4822" i="2"/>
  <c r="AK4822" i="2"/>
  <c r="AG4822" i="2"/>
  <c r="AL4822" i="2"/>
  <c r="AH4822" i="2"/>
  <c r="AI4822" i="2"/>
  <c r="AJ4822" i="2"/>
  <c r="AF4823" i="2"/>
  <c r="AK4823" i="2"/>
  <c r="AG4823" i="2"/>
  <c r="AL4823" i="2"/>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c r="AG4827" i="2"/>
  <c r="AH4827" i="2"/>
  <c r="AI4827" i="2"/>
  <c r="AL4827" i="2"/>
  <c r="AJ4827" i="2"/>
  <c r="AF4828" i="2"/>
  <c r="AK4828" i="2"/>
  <c r="AG4828" i="2"/>
  <c r="AH4828" i="2"/>
  <c r="AL4828" i="2"/>
  <c r="AI4828" i="2"/>
  <c r="AJ4828" i="2"/>
  <c r="AF4829" i="2"/>
  <c r="AK4829" i="2"/>
  <c r="AG4829" i="2"/>
  <c r="AH4829" i="2"/>
  <c r="AI4829" i="2"/>
  <c r="AJ4829" i="2"/>
  <c r="AF4830" i="2"/>
  <c r="AK4830" i="2"/>
  <c r="AG4830" i="2"/>
  <c r="AL4830" i="2"/>
  <c r="AH4830" i="2"/>
  <c r="AI4830" i="2"/>
  <c r="AJ4830" i="2"/>
  <c r="AF4831" i="2"/>
  <c r="AK4831" i="2"/>
  <c r="AG4831" i="2"/>
  <c r="AL4831" i="2"/>
  <c r="AH4831" i="2"/>
  <c r="AI4831" i="2"/>
  <c r="AJ4831" i="2"/>
  <c r="AF4832" i="2"/>
  <c r="AK4832" i="2"/>
  <c r="AG4832" i="2"/>
  <c r="AL4832" i="2"/>
  <c r="AH4832" i="2"/>
  <c r="AI4832" i="2"/>
  <c r="AJ4832" i="2"/>
  <c r="AF4833" i="2"/>
  <c r="AK4833" i="2"/>
  <c r="AG4833" i="2"/>
  <c r="AL4833" i="2"/>
  <c r="AH4833" i="2"/>
  <c r="AI4833" i="2"/>
  <c r="AJ4833" i="2"/>
  <c r="AF4834" i="2"/>
  <c r="AK4834" i="2"/>
  <c r="AL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H4839" i="2"/>
  <c r="AL4839" i="2"/>
  <c r="AI4839" i="2"/>
  <c r="AJ4839" i="2"/>
  <c r="AF4840" i="2"/>
  <c r="AK4840" i="2"/>
  <c r="AG4840" i="2"/>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c r="AG4844" i="2"/>
  <c r="AL4844" i="2"/>
  <c r="AH4844" i="2"/>
  <c r="AI4844" i="2"/>
  <c r="AJ4844" i="2"/>
  <c r="AF4845" i="2"/>
  <c r="AK4845" i="2"/>
  <c r="AG4845" i="2"/>
  <c r="AL4845" i="2"/>
  <c r="AH4845" i="2"/>
  <c r="AI4845" i="2"/>
  <c r="AJ4845" i="2"/>
  <c r="AF4846" i="2"/>
  <c r="AK4846" i="2"/>
  <c r="AG4846" i="2"/>
  <c r="AH4846" i="2"/>
  <c r="AI4846" i="2"/>
  <c r="AJ4846" i="2"/>
  <c r="AL4846" i="2"/>
  <c r="AF4847" i="2"/>
  <c r="AK4847" i="2"/>
  <c r="AG4847" i="2"/>
  <c r="AH4847" i="2"/>
  <c r="AL4847" i="2"/>
  <c r="AI4847" i="2"/>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L4851" i="2"/>
  <c r="AH4851" i="2"/>
  <c r="AI4851" i="2"/>
  <c r="AJ4851" i="2"/>
  <c r="AF4852" i="2"/>
  <c r="AK4852" i="2"/>
  <c r="AG4852" i="2"/>
  <c r="AH4852" i="2"/>
  <c r="AI4852" i="2"/>
  <c r="AJ4852" i="2"/>
  <c r="AL4852" i="2"/>
  <c r="AF4853" i="2"/>
  <c r="AK4853" i="2"/>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I4856" i="2"/>
  <c r="AJ4856" i="2"/>
  <c r="AF4857" i="2"/>
  <c r="AK4857" i="2"/>
  <c r="AG4857" i="2"/>
  <c r="AL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c r="AL4861" i="2"/>
  <c r="AG4861" i="2"/>
  <c r="AH4861" i="2"/>
  <c r="AI4861" i="2"/>
  <c r="AJ4861" i="2"/>
  <c r="AF4862" i="2"/>
  <c r="AK4862" i="2"/>
  <c r="AG4862" i="2"/>
  <c r="AL4862" i="2"/>
  <c r="AH4862" i="2"/>
  <c r="AI4862" i="2"/>
  <c r="AJ4862" i="2"/>
  <c r="AF4863" i="2"/>
  <c r="AK4863" i="2"/>
  <c r="AG4863" i="2"/>
  <c r="AH4863" i="2"/>
  <c r="AL4863" i="2"/>
  <c r="AI4863" i="2"/>
  <c r="AJ4863" i="2"/>
  <c r="AF4864" i="2"/>
  <c r="AK4864" i="2"/>
  <c r="AG4864" i="2"/>
  <c r="AL4864" i="2"/>
  <c r="AH4864" i="2"/>
  <c r="AI4864" i="2"/>
  <c r="AJ4864" i="2"/>
  <c r="AF4865" i="2"/>
  <c r="AK4865" i="2"/>
  <c r="AG4865" i="2"/>
  <c r="AH4865" i="2"/>
  <c r="AI4865" i="2"/>
  <c r="AJ4865" i="2"/>
  <c r="AL4865" i="2"/>
  <c r="AF4866" i="2"/>
  <c r="AK4866" i="2"/>
  <c r="AG4866" i="2"/>
  <c r="AL4866" i="2"/>
  <c r="AH4866" i="2"/>
  <c r="AI4866" i="2"/>
  <c r="AJ4866" i="2"/>
  <c r="AF4867" i="2"/>
  <c r="AK4867" i="2"/>
  <c r="AL4867" i="2"/>
  <c r="AG4867" i="2"/>
  <c r="AH4867" i="2"/>
  <c r="AI4867" i="2"/>
  <c r="AJ4867" i="2"/>
  <c r="AF4868" i="2"/>
  <c r="AK4868" i="2"/>
  <c r="AG4868" i="2"/>
  <c r="AL4868" i="2"/>
  <c r="AH4868" i="2"/>
  <c r="AI4868" i="2"/>
  <c r="AJ4868" i="2"/>
  <c r="AF4869" i="2"/>
  <c r="AK4869" i="2"/>
  <c r="AG4869" i="2"/>
  <c r="AL4869" i="2"/>
  <c r="AH4869" i="2"/>
  <c r="AI4869" i="2"/>
  <c r="AJ4869" i="2"/>
  <c r="AF4870" i="2"/>
  <c r="AK4870" i="2"/>
  <c r="AG4870" i="2"/>
  <c r="AH4870" i="2"/>
  <c r="AL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K4877" i="2"/>
  <c r="AF4878" i="2"/>
  <c r="AK4878" i="2"/>
  <c r="AG4878" i="2"/>
  <c r="AH4878" i="2"/>
  <c r="AL4878" i="2"/>
  <c r="AI4878" i="2"/>
  <c r="AJ4878" i="2"/>
  <c r="AF4879" i="2"/>
  <c r="AK4879" i="2"/>
  <c r="AG4879" i="2"/>
  <c r="AH4879" i="2"/>
  <c r="AI4879" i="2"/>
  <c r="AJ4879" i="2"/>
  <c r="AF4880" i="2"/>
  <c r="AK4880" i="2"/>
  <c r="AG4880" i="2"/>
  <c r="AL4880" i="2"/>
  <c r="AH4880" i="2"/>
  <c r="AI4880" i="2"/>
  <c r="AJ4880" i="2"/>
  <c r="AF4881" i="2"/>
  <c r="AK4881" i="2"/>
  <c r="AL4881" i="2"/>
  <c r="AG4881" i="2"/>
  <c r="AH4881" i="2"/>
  <c r="AI4881" i="2"/>
  <c r="AJ4881" i="2"/>
  <c r="AF4882" i="2"/>
  <c r="AK4882" i="2"/>
  <c r="AL4882" i="2"/>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L4887" i="2"/>
  <c r="AG4887" i="2"/>
  <c r="AH4887" i="2"/>
  <c r="AI4887" i="2"/>
  <c r="AJ4887" i="2"/>
  <c r="AF4888" i="2"/>
  <c r="AK4888" i="2"/>
  <c r="AG4888" i="2"/>
  <c r="AL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L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L4898" i="2"/>
  <c r="AH4898" i="2"/>
  <c r="AI4898" i="2"/>
  <c r="AJ4898" i="2"/>
  <c r="AF4899" i="2"/>
  <c r="AK4899" i="2"/>
  <c r="AG4899" i="2"/>
  <c r="AH4899" i="2"/>
  <c r="AI4899" i="2"/>
  <c r="AL4899" i="2"/>
  <c r="AJ4899" i="2"/>
  <c r="AF4900" i="2"/>
  <c r="AK4900" i="2"/>
  <c r="AG4900" i="2"/>
  <c r="AH4900" i="2"/>
  <c r="AI4900" i="2"/>
  <c r="AJ4900" i="2"/>
  <c r="AF4901" i="2"/>
  <c r="AK4901" i="2"/>
  <c r="AL4901" i="2"/>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c r="AI4907" i="2"/>
  <c r="AJ4907" i="2"/>
  <c r="AF4908" i="2"/>
  <c r="AK4908" i="2"/>
  <c r="AG4908" i="2"/>
  <c r="AH4908" i="2"/>
  <c r="AI4908" i="2"/>
  <c r="AJ4908" i="2"/>
  <c r="AF4909" i="2"/>
  <c r="AK4909" i="2"/>
  <c r="AL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c r="AI4915" i="2"/>
  <c r="AJ4915" i="2"/>
  <c r="AF4916" i="2"/>
  <c r="AK4916" i="2"/>
  <c r="AG4916" i="2"/>
  <c r="AH4916" i="2"/>
  <c r="AI4916" i="2"/>
  <c r="AJ4916" i="2"/>
  <c r="AF4917" i="2"/>
  <c r="AK4917" i="2"/>
  <c r="AG4917" i="2"/>
  <c r="AH4917" i="2"/>
  <c r="AI4917" i="2"/>
  <c r="AJ4917" i="2"/>
  <c r="AF4918" i="2"/>
  <c r="AK4918" i="2"/>
  <c r="AG4918" i="2"/>
  <c r="AL4918" i="2"/>
  <c r="AH4918" i="2"/>
  <c r="AI4918" i="2"/>
  <c r="AJ4918" i="2"/>
  <c r="AF4919" i="2"/>
  <c r="AK4919" i="2"/>
  <c r="AG4919" i="2"/>
  <c r="AH4919" i="2"/>
  <c r="AL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L4928" i="2"/>
  <c r="AG4928" i="2"/>
  <c r="AH4928" i="2"/>
  <c r="AI4928" i="2"/>
  <c r="AJ4928" i="2"/>
  <c r="AF4929" i="2"/>
  <c r="AK4929" i="2"/>
  <c r="AG4929" i="2"/>
  <c r="AH4929" i="2"/>
  <c r="AI4929" i="2"/>
  <c r="AJ4929" i="2"/>
  <c r="AF4930" i="2"/>
  <c r="AK4930" i="2"/>
  <c r="AG4930" i="2"/>
  <c r="AH4930" i="2"/>
  <c r="AI4930" i="2"/>
  <c r="AJ4930" i="2"/>
  <c r="AL4930" i="2"/>
  <c r="AF4931" i="2"/>
  <c r="AK4931" i="2"/>
  <c r="AG4931" i="2"/>
  <c r="AH4931" i="2"/>
  <c r="AI4931" i="2"/>
  <c r="AJ4931" i="2"/>
  <c r="AF4932" i="2"/>
  <c r="AK4932" i="2"/>
  <c r="AG4932" i="2"/>
  <c r="AL4932" i="2"/>
  <c r="AH4932" i="2"/>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c r="AI4940" i="2"/>
  <c r="AJ4940" i="2"/>
  <c r="AF4941" i="2"/>
  <c r="AK4941" i="2"/>
  <c r="AG4941" i="2"/>
  <c r="AL4941" i="2"/>
  <c r="AH4941" i="2"/>
  <c r="AI4941" i="2"/>
  <c r="AJ4941" i="2"/>
  <c r="AF4942" i="2"/>
  <c r="AK4942" i="2"/>
  <c r="AG4942" i="2"/>
  <c r="AL4942" i="2"/>
  <c r="AH4942" i="2"/>
  <c r="AI4942" i="2"/>
  <c r="AJ4942" i="2"/>
  <c r="AF4943" i="2"/>
  <c r="AK4943" i="2"/>
  <c r="AG4943" i="2"/>
  <c r="AH4943" i="2"/>
  <c r="AI4943" i="2"/>
  <c r="AJ4943" i="2"/>
  <c r="AF4944" i="2"/>
  <c r="AK4944" i="2"/>
  <c r="AG4944" i="2"/>
  <c r="AH4944" i="2"/>
  <c r="AI4944" i="2"/>
  <c r="AJ4944" i="2"/>
  <c r="AF4945" i="2"/>
  <c r="AK4945" i="2"/>
  <c r="AG4945" i="2"/>
  <c r="AL4945" i="2"/>
  <c r="AH4945" i="2"/>
  <c r="AI4945" i="2"/>
  <c r="AJ4945" i="2"/>
  <c r="AF4946" i="2"/>
  <c r="AK4946" i="2"/>
  <c r="AG4946" i="2"/>
  <c r="AL4946" i="2"/>
  <c r="AH4946" i="2"/>
  <c r="AI4946" i="2"/>
  <c r="AJ4946" i="2"/>
  <c r="AF4947" i="2"/>
  <c r="AK4947" i="2"/>
  <c r="AG4947" i="2"/>
  <c r="AH4947" i="2"/>
  <c r="AL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H4962" i="2"/>
  <c r="AL4962" i="2"/>
  <c r="AI4962" i="2"/>
  <c r="AJ4962" i="2"/>
  <c r="AF4963" i="2"/>
  <c r="AK4963" i="2"/>
  <c r="AG4963" i="2"/>
  <c r="AL4963" i="2"/>
  <c r="AH4963" i="2"/>
  <c r="AI4963" i="2"/>
  <c r="AJ4963" i="2"/>
  <c r="AF4964" i="2"/>
  <c r="AK4964" i="2"/>
  <c r="AG4964" i="2"/>
  <c r="AH4964" i="2"/>
  <c r="AI4964" i="2"/>
  <c r="AJ4964" i="2"/>
  <c r="AF4965" i="2"/>
  <c r="AK4965" i="2"/>
  <c r="AG4965" i="2"/>
  <c r="AH4965" i="2"/>
  <c r="AI4965" i="2"/>
  <c r="AJ4965" i="2"/>
  <c r="AL4965" i="2"/>
  <c r="AF4966" i="2"/>
  <c r="AK4966" i="2"/>
  <c r="AG4966" i="2"/>
  <c r="AH4966" i="2"/>
  <c r="AI4966" i="2"/>
  <c r="AJ4966" i="2"/>
  <c r="AF4967" i="2"/>
  <c r="AK4967" i="2"/>
  <c r="AL4967" i="2"/>
  <c r="AG4967" i="2"/>
  <c r="AH4967" i="2"/>
  <c r="AI4967" i="2"/>
  <c r="AJ4967" i="2"/>
  <c r="AF4968" i="2"/>
  <c r="AK4968" i="2"/>
  <c r="AG4968" i="2"/>
  <c r="AL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c r="AL4972" i="2"/>
  <c r="AG4972" i="2"/>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H4976" i="2"/>
  <c r="AI4976" i="2"/>
  <c r="AJ4976" i="2"/>
  <c r="AF4977" i="2"/>
  <c r="AK4977" i="2"/>
  <c r="AG4977" i="2"/>
  <c r="AL4977" i="2"/>
  <c r="AH4977" i="2"/>
  <c r="AI4977" i="2"/>
  <c r="AJ4977" i="2"/>
  <c r="AF4978" i="2"/>
  <c r="AK4978" i="2"/>
  <c r="AL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L4982" i="2"/>
  <c r="AG4982" i="2"/>
  <c r="AH4982" i="2"/>
  <c r="AI4982" i="2"/>
  <c r="AJ4982" i="2"/>
  <c r="AF4983" i="2"/>
  <c r="AK4983" i="2"/>
  <c r="AG4983" i="2"/>
  <c r="AL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L4988" i="2"/>
  <c r="AI4988" i="2"/>
  <c r="AJ4988" i="2"/>
  <c r="AF4989" i="2"/>
  <c r="AK4989" i="2"/>
  <c r="AG4989" i="2"/>
  <c r="AH4989" i="2"/>
  <c r="AI4989" i="2"/>
  <c r="AJ4989" i="2"/>
  <c r="AF4990" i="2"/>
  <c r="AK4990" i="2"/>
  <c r="AG4990" i="2"/>
  <c r="AH4990" i="2"/>
  <c r="AL4990" i="2"/>
  <c r="AI4990" i="2"/>
  <c r="AJ4990" i="2"/>
  <c r="AF4991" i="2"/>
  <c r="AK4991" i="2"/>
  <c r="AL4991" i="2"/>
  <c r="AG4991" i="2"/>
  <c r="AH4991" i="2"/>
  <c r="AI4991" i="2"/>
  <c r="AJ4991" i="2"/>
  <c r="AF4992" i="2"/>
  <c r="AK4992" i="2"/>
  <c r="AG4992" i="2"/>
  <c r="AH4992" i="2"/>
  <c r="AI4992" i="2"/>
  <c r="AJ4992" i="2"/>
  <c r="AF4993" i="2"/>
  <c r="AK4993" i="2"/>
  <c r="AG4993" i="2"/>
  <c r="AH4993" i="2"/>
  <c r="AI4993" i="2"/>
  <c r="AL4993" i="2"/>
  <c r="AJ4993" i="2"/>
  <c r="AF4994" i="2"/>
  <c r="AK4994" i="2"/>
  <c r="AG4994" i="2"/>
  <c r="AH4994" i="2"/>
  <c r="AI4994" i="2"/>
  <c r="AJ4994" i="2"/>
  <c r="AF4995" i="2"/>
  <c r="AK4995" i="2"/>
  <c r="AL4995" i="2"/>
  <c r="AG4995" i="2"/>
  <c r="AH4995" i="2"/>
  <c r="AI4995" i="2"/>
  <c r="AJ4995" i="2"/>
  <c r="AF4996" i="2"/>
  <c r="AK4996" i="2"/>
  <c r="AL4996" i="2"/>
  <c r="AG4996" i="2"/>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71" i="2"/>
  <c r="AL89" i="2"/>
  <c r="AL81" i="2"/>
  <c r="AL73" i="2"/>
  <c r="AL65" i="2"/>
  <c r="AL75" i="2"/>
  <c r="AL67" i="2"/>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005" i="2"/>
  <c r="AL5049" i="2"/>
  <c r="AL5066" i="2"/>
  <c r="AL5132" i="2"/>
  <c r="AL5158"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3" i="2" l="1"/>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<sst xmlns="http://schemas.openxmlformats.org/spreadsheetml/2006/main" count="866" uniqueCount="211">
  <si>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</si>
  <si>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</si>
  <si>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</si>
  <si>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</si>
  <si>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</si>
  <si>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</si>
  <si>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</si>
  <si>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</si>
  <si>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</si>
  <si>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</si>
  <si>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</si>
  <si>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</si>
  <si>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</si>
  <si>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</si>
  <si>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</si>
  <si>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</si>
  <si>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</si>
  <si>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</si>
  <si>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</si>
  <si>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</si>
  <si>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</si>
  <si>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</si>
  <si>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</si>
  <si>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</si>
  <si>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</si>
  <si>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</si>
  <si>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</si>
  <si>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</si>
  <si>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</si>
  <si>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</si>
  <si>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</si>
  <si>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</si>
  <si>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</si>
  <si>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</si>
  <si>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</si>
  <si>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</si>
  <si>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</si>
  <si>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</si>
  <si>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</si>
  <si>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</si>
  <si>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</si>
  <si>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</si>
  <si>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</si>
  <si>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</si>
  <si>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</si>
  <si>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</si>
  <si>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</si>
  <si>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</si>
  <si>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</si>
  <si>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</si>
  <si>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</si>
  <si>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</si>
  <si>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</si>
  <si>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</si>
  <si>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</si>
  <si>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</si>
  <si>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</si>
  <si>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</si>
  <si>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</si>
  <si>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</si>
  <si>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</si>
  <si>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</si>
  <si>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</si>
  <si>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</si>
  <si>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</si>
  <si>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</si>
  <si>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</si>
  <si>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</si>
  <si>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</si>
  <si>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</si>
  <si>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</si>
  <si>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</si>
  <si>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</si>
  <si>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</si>
  <si>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</si>
  <si>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</si>
  <si>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</si>
  <si>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</si>
  <si>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</si>
  <si>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</si>
  <si>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</si>
  <si>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</si>
  <si>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</si>
  <si>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</si>
  <si>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</si>
  <si>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</si>
  <si>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</si>
  <si>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</si>
  <si>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</si>
  <si>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</si>
  <si>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</si>
  <si>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</si>
  <si>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</si>
  <si>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</si>
  <si>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</si>
  <si>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</si>
  <si>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</si>
  <si>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</si>
  <si>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</si>
  <si>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</si>
  <si>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</si>
  <si>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 xml:space="preserve">Good habitat, habitat assessment (FHAP) conducted by AI in 2016 with Masse for proposed coal mine EA (Bingay). Electrofished U/S and D/S, see provincial records. </t>
  </si>
  <si>
    <t>Culvert slope estimate. Stream dredged upstream to remove sediments. Flows are slow through culvert and unlikely barrier for fry/parr for much of year. Habitat assessment (FHAP) and electrofishing conducted in 2016 by AI and Masse. See density info. Crossing 4606244 is on deactivated spur so very likely a ford, about 300m upstream same thing for 4604099</t>
  </si>
  <si>
    <t>Low</t>
  </si>
  <si>
    <t xml:space="preserve">Stream not located where mapped. Unlikely fish bearing. Flows into forest floor downstream of culvert. </t>
  </si>
  <si>
    <t>Tributary to Lowe Creek</t>
  </si>
  <si>
    <t xml:space="preserve">Channelized downstream due to dredging for about 30m. Small stream, substrate primariy fines but some gravel present. </t>
  </si>
  <si>
    <t>Tributary to Elk River</t>
  </si>
  <si>
    <t>Spur from Elk River FSR</t>
  </si>
  <si>
    <t xml:space="preserve">Road is deactivated downstream so no crossings below (4607172, 4606929). Dry vegetated channel. Not likely fish bearing at this location. </t>
  </si>
  <si>
    <t xml:space="preserve">Plan in place to deactivate entire netowrk here (personal communication). Dry, vegetated channel. Likely non-fish bearing. </t>
  </si>
  <si>
    <t xml:space="preserve">Freshly dredged. Dry, Dredging may extend well down channel. See photo from about 130m downstream. </t>
  </si>
  <si>
    <t>Crossing creek</t>
  </si>
  <si>
    <t xml:space="preserve">Dry channel at time of survey, channel transitions to grass flats about 60 meters downstream. </t>
  </si>
  <si>
    <t>Tributary to Whiting creek</t>
  </si>
  <si>
    <t>Lower Elk Valley Road</t>
  </si>
  <si>
    <t xml:space="preserve">Whiting creek appeared to not be present as agricultural field present downstream. This appeared to be only channel present for Whiting. Dry, heavily vegetated channel downstream. Defined channel upstream but seems unlikely to be fish bearing. </t>
  </si>
  <si>
    <t>Littlemoor creek</t>
  </si>
  <si>
    <t xml:space="preserve">Flows through fenced private land upstream and downstream. Inlet has quite a bit of debris on it. Upstream is much steeper than downstream with gradient estimated at 12%. Small stream with good flow. </t>
  </si>
  <si>
    <t>Dalzell creek</t>
  </si>
  <si>
    <t>Airport Road</t>
  </si>
  <si>
    <t xml:space="preserve">Fenced private land upstream and downstream. Wetland area downstream. </t>
  </si>
  <si>
    <t>Driveway</t>
  </si>
  <si>
    <t>Private</t>
  </si>
  <si>
    <t xml:space="preserve">Embedded culvert on private driveway. EB known upstream. </t>
  </si>
  <si>
    <t xml:space="preserve">Culvert collapsing in the middle. Private resdience driveway. Wetland type habitat upstream. </t>
  </si>
  <si>
    <t>Brule creek</t>
  </si>
  <si>
    <t>Busato Road</t>
  </si>
  <si>
    <t>Oval Culvert</t>
  </si>
  <si>
    <t>High</t>
  </si>
  <si>
    <t xml:space="preserve">Large stream with good flow at this crossing. Culvert inlet is damaged and there is a large outlet drop. </t>
  </si>
  <si>
    <t>Weigart creek</t>
  </si>
  <si>
    <t>Highway 43</t>
  </si>
  <si>
    <t xml:space="preserve">Large stream with good flow. Flows currently mostly through South culvert which has higher outlet drop. Surveyed to 70m downstream, see photos, Cobble/Boulder substrate. Boulder cover. </t>
  </si>
  <si>
    <t>Other</t>
  </si>
  <si>
    <t>Ford</t>
  </si>
  <si>
    <t xml:space="preserve">Pulled crossing, no issues, is now a ford. </t>
  </si>
  <si>
    <t>AI</t>
  </si>
  <si>
    <t xml:space="preserve">Spur </t>
  </si>
  <si>
    <t>Deactivated, Ford, no issues.</t>
  </si>
  <si>
    <t>North Littlemoor creek</t>
  </si>
  <si>
    <t xml:space="preserve">Small stream but good flow, EB known upstream. Fenced private land upstream and downstream. Measurements estimated due to fenced private land. </t>
  </si>
  <si>
    <t xml:space="preserve">Culvert has extension with corner, small stream with good flow. WCT and EB documented upstream. Gravels present suitable for WCT and EB spawning. </t>
  </si>
  <si>
    <t>Hadner FSR</t>
  </si>
  <si>
    <t>Open Bottom Structure</t>
  </si>
  <si>
    <t>Bridge</t>
  </si>
  <si>
    <t>R08477</t>
  </si>
  <si>
    <t xml:space="preserve">Steep stream with good flow. FISS sample site 2593 near crossing lcoation. Suspect too steep. </t>
  </si>
  <si>
    <t>Hartley creek</t>
  </si>
  <si>
    <t>McCool creek</t>
  </si>
  <si>
    <t>Dicken Road</t>
  </si>
  <si>
    <t>MoTi</t>
  </si>
  <si>
    <t xml:space="preserve">WCT spawning system. See BC WCT management plan. Laser level used for culvert slope. </t>
  </si>
  <si>
    <t>Tributary to Lizard creek</t>
  </si>
  <si>
    <t>Lazy Lizard Lower</t>
  </si>
  <si>
    <t xml:space="preserve">Bike trail. </t>
  </si>
  <si>
    <t>Trail</t>
  </si>
  <si>
    <t xml:space="preserve">Trail. Stream has been diverted to beside the road. </t>
  </si>
  <si>
    <t>Mt Mclean Road</t>
  </si>
  <si>
    <t xml:space="preserve">Dry channel. Culvert is embedded. </t>
  </si>
  <si>
    <t>AI, Kp</t>
  </si>
  <si>
    <t>McGiverin Road</t>
  </si>
  <si>
    <t xml:space="preserve">Vegetated channel. Unlikely to be fish habitat. </t>
  </si>
  <si>
    <t>Railway</t>
  </si>
  <si>
    <t xml:space="preserve">Dry vegetated channl. Unlikely to be fish habitat. </t>
  </si>
  <si>
    <t>Robinson Road</t>
  </si>
  <si>
    <t xml:space="preserve">Dry mostly vegetated channel. Not likely fish habitat. </t>
  </si>
  <si>
    <t>Hill Road</t>
  </si>
  <si>
    <t xml:space="preserve">Dry, mostly vegetated channel. Not likely fish habitat. Two pipes, one buried by fill. Inlet elevated resultin in small are of wetland vegetation upstream. </t>
  </si>
  <si>
    <t>KP, AI</t>
  </si>
  <si>
    <t>Pipe Arch</t>
  </si>
  <si>
    <t xml:space="preserve">OBS, appears very passable. </t>
  </si>
  <si>
    <t xml:space="preserve">Stream dry at time of survey. Vegetated channel, loaded with sediment. Inlet of culvert damaged, partly bent. Inlet and outlet area dredged. </t>
  </si>
  <si>
    <t>Lowe creek</t>
  </si>
  <si>
    <t xml:space="preserve">Upstream past dredging natural channel 2.5m wide. Downstream belwo dredging extremely braided, original channel difficult to track. Channel widths &gt;10m at times with substrate on top of banks and in bases of trees. Channel dredged upstream and downstream approximately 75m on each. </t>
  </si>
  <si>
    <t xml:space="preserve">Low, slow flow.Culvert completely backwatered. Ampib species sighted at inlet. </t>
  </si>
  <si>
    <t xml:space="preserve">Large perched culvert. Excellent stream, banks indicate stable flows, lots of cover observed. </t>
  </si>
  <si>
    <t xml:space="preserve">No channel exists, likely no fish habitat value. Surrounding landscape severly altered by agricultural activities. </t>
  </si>
  <si>
    <t xml:space="preserve">Local landowner communicated no fish in this stream, and it fully freezes in winter and goes subsurface somewhere downstream. Stream slope estimated due to fenced private land. </t>
  </si>
  <si>
    <t xml:space="preserve">Three barrels (.45m each). Two of the three have water flowing through them. Upstream and downstream channel widens out, slow flow through vegetated channel. Highly manipulated banks. Deep fine substrate on both sides of crossing. Upstream resembles a wetland. </t>
  </si>
  <si>
    <t>At the time of survey upstream portion of creek dry. Downstream, deep pool present, fed subsurface from northside of culvert. Fish sighted in outlet pool approximately 7-10 ranging in size from 150-350mm</t>
  </si>
  <si>
    <t>Line creek mine road</t>
  </si>
  <si>
    <t xml:space="preserve">Dry at time of survey, no channel present, area vegetated grassland. Two culverts, 0.60m in diameter. Top culvert 0.5m higher than the lower. </t>
  </si>
  <si>
    <t>Hollow creek</t>
  </si>
  <si>
    <t xml:space="preserve">Can't access up or downstream due to fenced private land. Stream slope estimated. </t>
  </si>
  <si>
    <t>Whiting creek</t>
  </si>
  <si>
    <t xml:space="preserve">Can't access up or downstream due to fenced private land. Stream slope estimated. Water pipe intake at the oulet, likely for agricultural use. </t>
  </si>
  <si>
    <t>Grave creek</t>
  </si>
  <si>
    <t xml:space="preserve">Deactivated road, Ford. </t>
  </si>
  <si>
    <t xml:space="preserve">Stream dry at time of survey, channel not visible for about 40 downstream. Water and channel appear about 65m downstream of crossing. Upstream side of crossing inlet inlet not visible, covered by road fill or deep organic debris. Channel upstream non-existent and dry. This system (labelled as Grave creek on the map) must be a side or old channel. </t>
  </si>
  <si>
    <t>Tributary to Grave creek</t>
  </si>
  <si>
    <t xml:space="preserve">Inlet clogged with debris 3/4 of way up. Upstream area is wetland/pond. </t>
  </si>
  <si>
    <t xml:space="preserve">Nice woodent pedestrian/bike bridge for recreational use. </t>
  </si>
  <si>
    <t>Cokato Road</t>
  </si>
  <si>
    <t xml:space="preserve">Very low flow at time of survey, .50m inlet drop from debris. Very steep culvert, possibley 2 sections with further upstream section being much steeper. </t>
  </si>
  <si>
    <t>Concrete Box</t>
  </si>
  <si>
    <t xml:space="preserve">Concrete arch, &gt;30% downstream of culvert for 10m likel from railway fill. Dry downstream with stagnant pools upstream. </t>
  </si>
  <si>
    <t xml:space="preserve">2 barrels, 0.90 and 1.1m. 1.1m culvert is slightly lower but very similar in elevation. Debris fence on inlet, stream dry at time of survey. </t>
  </si>
  <si>
    <t>Cokato creek</t>
  </si>
  <si>
    <t xml:space="preserve">3 large barrels (all 1.2m), very perched 0.7-1.3m above substrate. Stream dry at time of survey. Debris guard on upstream side of culverst. Note there is a slope change at the inlet of structure, much steeper short seciton possibly from damage. </t>
  </si>
  <si>
    <t xml:space="preserve">Stream dry at time of survey. Three barrels, 1.2m in diameter. All three very similar elevation, all perched .2-.50m above substrate. </t>
  </si>
  <si>
    <t xml:space="preserve">Stream dry at time of survey. 2 barrels (0.80 and 1.5m in diameter), similar heights but 1.5m slightly lower. Smaller barrel inlet damaged. </t>
  </si>
  <si>
    <t>Highline Drive (Fernie ski hill)</t>
  </si>
  <si>
    <t xml:space="preserve">Very recent heavy rains, 2 side channels for ski hill drainage infrastructure giving significant flow contributions just upstream of crossing, one of which is espeically turbid (from large parking lot). Culvert not baffled, very steep. A lot of fill on paved access to condos. Old metal collar of culvert ripped off and in outlet pool. </t>
  </si>
  <si>
    <t>Fernie ski hill</t>
  </si>
  <si>
    <t xml:space="preserve">Debris guard on inlet. Can't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 </t>
  </si>
  <si>
    <t xml:space="preserve">Inlet drop about .40m, significant and looks like increased barrier. Crossing is Fernie ski hill gravel road for maitenance and users. Stream highly manipulated. Currently high and turbid due to heavy rain. </t>
  </si>
  <si>
    <t xml:space="preserve">Huge crossing through the ski hill parkin lot and lodge area. Likely not a good use of $ to fix. Huge outlet drop and pool, extremely long culvert (close to 100m) tied in with other drainage infrastructure at the base of the Fernie ski hill. Inlet drop about .15m </t>
  </si>
  <si>
    <t xml:space="preserve">Stream continually get steeper, just upstream gradient is around 20%. Crossing last of a series within close proximity of each other, the crossing downstream of this one is huge, nearly 100m long. Likely more crossing upstream on skihill infrastructure and access roads. Recent heavy rains, raised and clouded water. </t>
  </si>
  <si>
    <t>Fernie Nordic Trail</t>
  </si>
  <si>
    <t>Outlet pool appears dredged, very deep, approximately 2m and 7-8m long. Nice stream, good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</si>
</sst>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style="43" customWidth="1"/>
  </cols>
  <sheetData>
    <row r="1" spans="1:20" ht="18">
      <c r="A1" s="1" t="s">
        <v>61</v>
      </c>
    </row>
    <row r="2" spans="1:20" ht="18">
      <c r="A2" s="1" t="s">
        <v>91</v>
      </c>
      <c r="Q2" s="2"/>
      <c r="R2" s="2"/>
      <c r="T2" s="2">
        <v>0</v>
      </c>
    </row>
    <row r="4" spans="1:20" ht="16">
      <c r="A4" s="3" t="s">
        <v>2</v>
      </c>
    </row>
    <row r="6" spans="1:20" ht="16">
      <c r="A6" s="26" t="s">
        <v>53</v>
      </c>
      <c r="B6" t="s">
        <v>76</v>
      </c>
    </row>
    <row r="8" spans="1:20" ht="64">
      <c r="A8" s="26" t="s">
        <v>54</v>
      </c>
      <c r="B8" s="102" t="s">
        <v>90</v>
      </c>
    </row>
    <row r="9" spans="1:20">
      <c r="A9" s="47"/>
      <c r="B9" s="44"/>
    </row>
    <row r="10" spans="1:20" ht="48">
      <c r="A10" s="26" t="s">
        <v>55</v>
      </c>
      <c r="B10" s="102" t="s">
        <v>88</v>
      </c>
    </row>
    <row r="11" spans="1:20" ht="96">
      <c r="A11" s="26"/>
      <c r="B11" s="68" t="s">
        <v>77</v>
      </c>
    </row>
    <row r="12" spans="1:20" ht="48">
      <c r="A12" s="47"/>
      <c r="B12" s="64" t="s">
        <v>78</v>
      </c>
    </row>
    <row r="13" spans="1:20" ht="32">
      <c r="A13" s="47"/>
      <c r="B13" s="71" t="s">
        <v>79</v>
      </c>
    </row>
    <row r="14" spans="1:20">
      <c r="A14" s="47"/>
      <c r="B14" s="63"/>
    </row>
    <row r="15" spans="1:20" ht="402.5" customHeight="1">
      <c r="A15" s="26" t="s">
        <v>56</v>
      </c>
      <c r="B15" s="102" t="s">
        <v>89</v>
      </c>
    </row>
    <row r="16" spans="1:20">
      <c r="A16" s="47"/>
      <c r="B16" s="46"/>
    </row>
    <row r="17" spans="1:2" ht="80">
      <c r="A17" s="26" t="s">
        <v>57</v>
      </c>
      <c r="B17" s="46" t="s">
        <v>80</v>
      </c>
    </row>
    <row r="18" spans="1:2">
      <c r="A18" s="47"/>
      <c r="B18" s="48"/>
    </row>
    <row r="19" spans="1:2" ht="48">
      <c r="A19" s="26" t="s">
        <v>81</v>
      </c>
      <c r="B19" s="46" t="s">
        <v>71</v>
      </c>
    </row>
    <row r="20" spans="1:2" ht="32">
      <c r="B20" s="68" t="s">
        <v>82</v>
      </c>
    </row>
    <row r="22" spans="1:2" ht="16">
      <c r="A22" s="26" t="s">
        <v>72</v>
      </c>
      <c r="B22" s="45"/>
    </row>
    <row r="23" spans="1:2" ht="48">
      <c r="A23" s="26"/>
      <c r="B23" s="65" t="s">
        <v>83</v>
      </c>
    </row>
    <row r="24" spans="1:2" ht="16">
      <c r="A24" s="26"/>
      <c r="B24" s="70"/>
    </row>
    <row r="25" spans="1:2" ht="48">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18"/>
    </row>
    <row r="7" spans="1:20">
      <c r="A7" s="4" t="s">
        <v>86</v>
      </c>
      <c r="B7" s="119"/>
    </row>
    <row r="8" spans="1:20">
      <c r="A8" s="4" t="s">
        <v>73</v>
      </c>
    </row>
    <row r="9" spans="1:20">
      <c r="A9" s="4" t="s">
        <v>74</v>
      </c>
    </row>
    <row r="10" spans="1:20">
      <c r="A10" s="4" t="s">
        <v>75</v>
      </c>
      <c r="B10" s="120"/>
    </row>
    <row r="11" spans="1:20">
      <c r="A11" s="4"/>
      <c r="B11" s="118"/>
    </row>
    <row r="12" spans="1:20">
      <c r="A12" s="4" t="s">
        <v>36</v>
      </c>
      <c r="B12" s="119"/>
    </row>
    <row r="13" spans="1:20">
      <c r="A13" s="4" t="s">
        <v>37</v>
      </c>
    </row>
    <row r="14" spans="1:20">
      <c r="A14" s="4" t="s">
        <v>38</v>
      </c>
    </row>
    <row r="15" spans="1:20">
      <c r="A15" s="4" t="s">
        <v>39</v>
      </c>
      <c r="B15" s="120"/>
    </row>
    <row r="16" spans="1:20">
      <c r="A16" s="4"/>
      <c r="B16" s="118"/>
    </row>
    <row r="17" spans="1:2">
      <c r="A17" s="4" t="s">
        <v>40</v>
      </c>
    </row>
    <row r="18" spans="1:2">
      <c r="A18" s="4" t="s">
        <v>41</v>
      </c>
    </row>
    <row r="20" spans="1:2" ht="48">
      <c r="A20" s="66"/>
      <c r="B20" s="67"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50" zoomScaleNormal="150" workbookViewId="0">
      <pane ySplit="4" topLeftCell="A50" activePane="bottomLeft" state="frozen"/>
      <selection pane="bottomLeft" activeCell="A64" sqref="A64"/>
    </sheetView>
  </sheetViews>
  <sheetFormatPr baseColWidth="10" defaultColWidth="8.83203125" defaultRowHeight="15"/>
  <cols>
    <col min="1" max="1" width="13.1640625" style="20" customWidth="1"/>
    <col min="2" max="2" width="17.5" style="74" customWidth="1"/>
    <col min="3" max="3" width="17.1640625" style="10" customWidth="1"/>
    <col min="4" max="4" width="22.5" style="10" customWidth="1"/>
    <col min="5" max="5" width="9.1640625" style="11" customWidth="1"/>
    <col min="6" max="6" width="9.5" style="53" bestFit="1" customWidth="1"/>
    <col min="7" max="7" width="12" style="51" bestFit="1" customWidth="1"/>
    <col min="8" max="8" width="18.83203125" style="11" customWidth="1"/>
    <col min="9" max="9" width="21.5" style="11" customWidth="1"/>
    <col min="10" max="10" width="8" style="24" customWidth="1"/>
    <col min="11" max="11" width="12" style="11" bestFit="1" customWidth="1"/>
    <col min="12" max="12" width="26.5" style="10" customWidth="1"/>
    <col min="13" max="13" width="18.5" style="10" customWidth="1"/>
    <col min="14" max="14" width="17.1640625" style="23" customWidth="1"/>
    <col min="15" max="15" width="14.83203125" style="23" customWidth="1"/>
    <col min="16" max="16" width="14.83203125" style="10" customWidth="1"/>
    <col min="17" max="17" width="16" style="23" customWidth="1"/>
    <col min="18" max="18" width="9.5" style="10" customWidth="1"/>
    <col min="19" max="19" width="12" style="10" customWidth="1"/>
    <col min="20" max="20" width="12.33203125" style="23" customWidth="1"/>
    <col min="21" max="21" width="9.1640625" style="23" customWidth="1"/>
    <col min="22" max="22" width="14.33203125" style="10" customWidth="1"/>
    <col min="23" max="23" width="9.1640625" style="23" customWidth="1"/>
    <col min="24" max="24" width="11" style="10" customWidth="1"/>
    <col min="25" max="25" width="15" style="23" customWidth="1"/>
    <col min="26" max="26" width="15.5" style="23"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21"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3" customWidth="1"/>
    <col min="42" max="42" width="49.83203125" style="10" customWidth="1"/>
  </cols>
  <sheetData>
    <row r="1" spans="1:42" s="32" customFormat="1">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16">
      <c r="A5" s="117">
        <v>44090</v>
      </c>
      <c r="B5" s="112"/>
      <c r="C5" s="116">
        <v>4605653</v>
      </c>
      <c r="D5" s="116" t="s">
        <v>92</v>
      </c>
      <c r="E5" s="77">
        <v>11</v>
      </c>
      <c r="F5" s="53">
        <v>644666</v>
      </c>
      <c r="G5" s="51">
        <v>5564940</v>
      </c>
      <c r="H5" s="11" t="s">
        <v>93</v>
      </c>
      <c r="I5" s="11" t="s">
        <v>94</v>
      </c>
      <c r="J5" s="104"/>
      <c r="K5" s="11"/>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101</v>
      </c>
    </row>
    <row r="6" spans="1:42" s="13" customFormat="1" ht="16">
      <c r="A6" s="117">
        <v>44090</v>
      </c>
      <c r="B6" s="112"/>
      <c r="C6" s="116">
        <v>4605675</v>
      </c>
      <c r="D6" s="116" t="s">
        <v>92</v>
      </c>
      <c r="E6" s="77">
        <v>11</v>
      </c>
      <c r="F6" s="78">
        <v>645225</v>
      </c>
      <c r="G6" s="79">
        <v>5567096</v>
      </c>
      <c r="H6" s="11" t="s">
        <v>93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102</v>
      </c>
    </row>
    <row r="7" spans="1:42" s="13" customFormat="1" ht="16">
      <c r="A7" s="117">
        <v>44090</v>
      </c>
      <c r="B7" s="112"/>
      <c r="C7" s="116">
        <v>4605705</v>
      </c>
      <c r="D7" s="116" t="s">
        <v>92</v>
      </c>
      <c r="E7" s="77">
        <v>11</v>
      </c>
      <c r="F7" s="78">
        <v>643733</v>
      </c>
      <c r="G7" s="79">
        <v>5560586</v>
      </c>
      <c r="H7" s="11" t="s">
        <v>93</v>
      </c>
      <c r="I7" s="11" t="s">
        <v>94</v>
      </c>
      <c r="J7" s="104">
        <v>119.1</v>
      </c>
      <c r="K7" s="116"/>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103</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104</v>
      </c>
    </row>
    <row r="8" spans="1:42" s="13" customFormat="1" ht="16">
      <c r="A8" s="117">
        <v>44090</v>
      </c>
      <c r="B8" s="110"/>
      <c r="C8" s="116">
        <v>4605708</v>
      </c>
      <c r="D8" s="116" t="s">
        <v>92</v>
      </c>
      <c r="E8" s="77">
        <v>11</v>
      </c>
      <c r="F8" s="78">
        <v>643611</v>
      </c>
      <c r="G8" s="79">
        <v>5559835</v>
      </c>
      <c r="H8" s="116" t="s">
        <v>105</v>
      </c>
      <c r="I8" s="77" t="s">
        <v>94</v>
      </c>
      <c r="J8" s="105"/>
      <c r="K8" s="108"/>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103</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106</v>
      </c>
    </row>
    <row r="9" spans="1:42" ht="16">
      <c r="A9" s="117">
        <v>44090</v>
      </c>
      <c r="B9" s="111"/>
      <c r="C9" s="116">
        <v>4606835</v>
      </c>
      <c r="D9" s="116" t="s">
        <v>92</v>
      </c>
      <c r="E9" s="77">
        <v>11</v>
      </c>
      <c r="F9" s="78">
        <v>644829</v>
      </c>
      <c r="G9" s="79">
        <v>5559116</v>
      </c>
      <c r="H9" s="11" t="s">
        <v>93</v>
      </c>
      <c r="I9" s="77" t="s">
        <v>108</v>
      </c>
      <c r="J9" s="104"/>
      <c r="K9" s="108"/>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103</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109</v>
      </c>
    </row>
    <row r="10" spans="1:42" ht="16">
      <c r="A10" s="117">
        <v>44090</v>
      </c>
      <c r="B10" s="111"/>
      <c r="C10" s="116">
        <v>4606669</v>
      </c>
      <c r="D10" s="116" t="s">
        <v>92</v>
      </c>
      <c r="E10" s="77">
        <v>11</v>
      </c>
      <c r="F10" s="78">
        <v>646462</v>
      </c>
      <c r="G10" s="79">
        <v>5554360</v>
      </c>
      <c r="H10" s="103" t="s">
        <v>93</v>
      </c>
      <c r="I10" s="77" t="s">
        <v>108</v>
      </c>
      <c r="J10" s="104"/>
      <c r="K10" s="116"/>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103</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c r="AO10" s="114"/>
      <c r="AP10" s="116" t="s">
        <v>110</v>
      </c>
    </row>
    <row r="11" spans="1:42" ht="16">
      <c r="A11" s="117">
        <v>44090</v>
      </c>
      <c r="B11" s="111"/>
      <c r="C11" s="103">
        <v>4605733</v>
      </c>
      <c r="D11" s="115" t="s">
        <v>92</v>
      </c>
      <c r="E11" s="115">
        <v>11</v>
      </c>
      <c r="F11" s="107">
        <v>647191</v>
      </c>
      <c r="G11" s="106">
        <v>5552693</v>
      </c>
      <c r="H11" s="103" t="s">
        <v>107</v>
      </c>
      <c r="I11" s="77" t="s">
        <v>94</v>
      </c>
      <c r="J11" s="104"/>
      <c r="K11" s="115"/>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103</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111</v>
      </c>
    </row>
    <row r="12" spans="1:42" ht="16">
      <c r="A12" s="82">
        <v>44090</v>
      </c>
      <c r="B12" s="73"/>
      <c r="C12" s="25">
        <v>4605697</v>
      </c>
      <c r="D12" s="25" t="s">
        <v>92</v>
      </c>
      <c r="E12" s="77">
        <v>11</v>
      </c>
      <c r="F12" s="78">
        <v>648722</v>
      </c>
      <c r="G12" s="79">
        <v>5548198</v>
      </c>
      <c r="H12" s="77" t="s">
        <v>112</v>
      </c>
      <c r="I12" s="77" t="s">
        <v>94</v>
      </c>
      <c r="J12" s="42"/>
      <c r="K12" s="77"/>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103</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113</v>
      </c>
    </row>
    <row r="13" spans="1:42" ht="32">
      <c r="A13" s="82">
        <v>44091</v>
      </c>
      <c r="B13" s="76"/>
      <c r="C13" s="25">
        <v>4600329</v>
      </c>
      <c r="D13" s="25" t="s">
        <v>92</v>
      </c>
      <c r="E13" s="77">
        <v>11</v>
      </c>
      <c r="F13" s="78">
        <v>652325</v>
      </c>
      <c r="G13" s="79">
        <v>5515789</v>
      </c>
      <c r="H13" s="77" t="s">
        <v>114</v>
      </c>
      <c r="I13" s="77" t="s">
        <v>115</v>
      </c>
      <c r="J13" s="80"/>
      <c r="K13" s="77"/>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103</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116</v>
      </c>
    </row>
    <row r="14" spans="1:42" ht="16">
      <c r="A14" s="82">
        <v>44091</v>
      </c>
      <c r="B14" s="76"/>
      <c r="C14" s="25">
        <v>4600084</v>
      </c>
      <c r="D14" s="25" t="s">
        <v>92</v>
      </c>
      <c r="E14" s="77">
        <v>11</v>
      </c>
      <c r="F14" s="78">
        <v>651532</v>
      </c>
      <c r="G14" s="79">
        <v>5521052</v>
      </c>
      <c r="H14" s="77" t="s">
        <v>117</v>
      </c>
      <c r="I14" s="77" t="s">
        <v>115</v>
      </c>
      <c r="J14" s="80"/>
      <c r="K14" s="77" t="s">
        <v>151</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103</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118</v>
      </c>
    </row>
    <row r="15" spans="1:42" ht="16">
      <c r="A15" s="82">
        <v>44091</v>
      </c>
      <c r="B15" s="76"/>
      <c r="C15" s="25">
        <v>4600040</v>
      </c>
      <c r="D15" s="25" t="s">
        <v>92</v>
      </c>
      <c r="E15" s="77">
        <v>11</v>
      </c>
      <c r="F15" s="78">
        <v>652004</v>
      </c>
      <c r="G15" s="79">
        <v>5522330</v>
      </c>
      <c r="H15" s="77" t="s">
        <v>119</v>
      </c>
      <c r="I15" s="77" t="s">
        <v>120</v>
      </c>
      <c r="J15" s="80"/>
      <c r="K15" s="77" t="s">
        <v>151</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121</v>
      </c>
    </row>
    <row r="16" spans="1:42" ht="16">
      <c r="A16" s="82">
        <v>44091</v>
      </c>
      <c r="B16" s="76"/>
      <c r="C16" s="25">
        <v>4600037</v>
      </c>
      <c r="D16" s="25" t="s">
        <v>92</v>
      </c>
      <c r="E16" s="77">
        <v>11</v>
      </c>
      <c r="F16" s="78">
        <v>651867</v>
      </c>
      <c r="G16" s="79">
        <v>5522741</v>
      </c>
      <c r="H16" s="77" t="s">
        <v>119</v>
      </c>
      <c r="I16" s="77" t="s">
        <v>122</v>
      </c>
      <c r="J16" s="80"/>
      <c r="K16" s="77" t="s">
        <v>123</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124</v>
      </c>
    </row>
    <row r="17" spans="1:42" ht="16">
      <c r="A17" s="82">
        <v>44091</v>
      </c>
      <c r="B17" s="76"/>
      <c r="C17" s="25">
        <v>4600038</v>
      </c>
      <c r="D17" s="25" t="s">
        <v>92</v>
      </c>
      <c r="E17" s="77">
        <v>11</v>
      </c>
      <c r="F17" s="78"/>
      <c r="G17" s="79"/>
      <c r="H17" s="77" t="s">
        <v>119</v>
      </c>
      <c r="I17" s="77" t="s">
        <v>122</v>
      </c>
      <c r="J17" s="80"/>
      <c r="K17" s="77" t="s">
        <v>123</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125</v>
      </c>
    </row>
    <row r="18" spans="1:42" ht="16">
      <c r="A18" s="82">
        <v>44091</v>
      </c>
      <c r="B18" s="76"/>
      <c r="C18" s="25">
        <v>4600183</v>
      </c>
      <c r="D18" s="25" t="s">
        <v>92</v>
      </c>
      <c r="E18" s="77">
        <v>11</v>
      </c>
      <c r="F18" s="78"/>
      <c r="G18" s="79"/>
      <c r="H18" s="77" t="s">
        <v>126</v>
      </c>
      <c r="I18" s="77" t="s">
        <v>127</v>
      </c>
      <c r="J18" s="80"/>
      <c r="K18" s="77" t="s">
        <v>151</v>
      </c>
      <c r="L18" s="25" t="s">
        <v>95</v>
      </c>
      <c r="M18" s="25" t="s">
        <v>128</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129</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130</v>
      </c>
    </row>
    <row r="19" spans="1:42" ht="16">
      <c r="A19" s="82">
        <v>44091</v>
      </c>
      <c r="B19" s="76"/>
      <c r="C19" s="25">
        <v>4600069</v>
      </c>
      <c r="D19" s="25" t="s">
        <v>92</v>
      </c>
      <c r="E19" s="77">
        <v>11</v>
      </c>
      <c r="F19" s="78"/>
      <c r="G19" s="79"/>
      <c r="H19" s="77" t="s">
        <v>131</v>
      </c>
      <c r="I19" s="77" t="s">
        <v>132</v>
      </c>
      <c r="J19" s="42"/>
      <c r="K19" s="77" t="s">
        <v>151</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129</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133</v>
      </c>
    </row>
    <row r="20" spans="1:42" ht="16">
      <c r="A20" s="82">
        <v>44092</v>
      </c>
      <c r="B20" s="76"/>
      <c r="C20" s="25">
        <v>4601205</v>
      </c>
      <c r="D20" s="25" t="s">
        <v>92</v>
      </c>
      <c r="E20" s="77"/>
      <c r="F20" s="78"/>
      <c r="G20" s="79"/>
      <c r="H20" s="25" t="s">
        <v>126</v>
      </c>
      <c r="I20" s="77" t="s">
        <v>123</v>
      </c>
      <c r="J20" s="42"/>
      <c r="K20" s="77"/>
      <c r="L20" s="25" t="s">
        <v>134</v>
      </c>
      <c r="M20" s="25" t="s">
        <v>135</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136</v>
      </c>
    </row>
    <row r="21" spans="1:42">
      <c r="A21" s="82">
        <v>44092</v>
      </c>
      <c r="B21" s="76"/>
      <c r="C21" s="25">
        <v>4602276</v>
      </c>
      <c r="D21" s="25" t="s">
        <v>137</v>
      </c>
      <c r="E21" s="25">
        <v>11</v>
      </c>
      <c r="F21" s="75">
        <v>649758</v>
      </c>
      <c r="G21" s="81">
        <v>5527935</v>
      </c>
      <c r="H21" s="25" t="s">
        <v>126</v>
      </c>
      <c r="I21" s="25" t="s">
        <v>138</v>
      </c>
      <c r="J21" s="42"/>
      <c r="K21" s="25"/>
      <c r="L21" s="25" t="s">
        <v>134</v>
      </c>
      <c r="M21" s="25" t="s">
        <v>135</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139</v>
      </c>
    </row>
    <row r="22" spans="1:42" ht="16">
      <c r="A22" s="82">
        <v>44092</v>
      </c>
      <c r="B22" s="76"/>
      <c r="C22" s="25">
        <v>4600184</v>
      </c>
      <c r="D22" s="25" t="s">
        <v>92</v>
      </c>
      <c r="E22" s="77">
        <v>11</v>
      </c>
      <c r="F22" s="78">
        <v>650954</v>
      </c>
      <c r="G22" s="79">
        <v>5522199</v>
      </c>
      <c r="H22" s="77" t="s">
        <v>140</v>
      </c>
      <c r="I22" s="77" t="s">
        <v>132</v>
      </c>
      <c r="J22" s="80"/>
      <c r="K22" s="77" t="s">
        <v>151</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141</v>
      </c>
    </row>
    <row r="23" spans="1:42" ht="16">
      <c r="A23" s="82">
        <v>44092</v>
      </c>
      <c r="B23" s="76"/>
      <c r="C23" s="25">
        <v>4600185</v>
      </c>
      <c r="D23" s="25" t="s">
        <v>92</v>
      </c>
      <c r="E23" s="77">
        <v>11</v>
      </c>
      <c r="F23" s="78">
        <v>651002</v>
      </c>
      <c r="G23" s="79">
        <v>5521022</v>
      </c>
      <c r="H23" s="77" t="s">
        <v>117</v>
      </c>
      <c r="I23" s="77" t="s">
        <v>132</v>
      </c>
      <c r="J23" s="80"/>
      <c r="K23" s="77" t="s">
        <v>151</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142</v>
      </c>
    </row>
    <row r="24" spans="1:42" ht="16">
      <c r="A24" s="82">
        <v>44092</v>
      </c>
      <c r="B24" s="76"/>
      <c r="C24" s="25">
        <v>2020091801</v>
      </c>
      <c r="D24" s="25" t="s">
        <v>92</v>
      </c>
      <c r="E24" s="77">
        <v>11</v>
      </c>
      <c r="F24" s="78">
        <v>648381</v>
      </c>
      <c r="G24" s="79">
        <v>5499536</v>
      </c>
      <c r="H24" s="77" t="s">
        <v>149</v>
      </c>
      <c r="I24" s="77" t="s">
        <v>143</v>
      </c>
      <c r="J24" s="80"/>
      <c r="K24" s="77"/>
      <c r="L24" s="25" t="s">
        <v>144</v>
      </c>
      <c r="M24" s="25" t="s">
        <v>145</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row>
    <row r="25" spans="1:42" ht="16">
      <c r="A25" s="82">
        <v>44092</v>
      </c>
      <c r="B25" s="76"/>
      <c r="C25" s="25">
        <v>4607023</v>
      </c>
      <c r="D25" s="25" t="s">
        <v>92</v>
      </c>
      <c r="E25" s="77">
        <v>11</v>
      </c>
      <c r="F25" s="78">
        <v>648041</v>
      </c>
      <c r="G25" s="79">
        <v>5499983</v>
      </c>
      <c r="H25" s="77" t="s">
        <v>149</v>
      </c>
      <c r="I25" s="77"/>
      <c r="J25" s="80"/>
      <c r="K25" s="77" t="s">
        <v>146</v>
      </c>
      <c r="L25" s="25" t="s">
        <v>144</v>
      </c>
      <c r="M25" s="25" t="s">
        <v>145</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row>
    <row r="26" spans="1:42" ht="16">
      <c r="A26" s="82">
        <v>44092</v>
      </c>
      <c r="B26" s="76"/>
      <c r="C26" s="25">
        <v>4604198</v>
      </c>
      <c r="D26" s="25" t="s">
        <v>92</v>
      </c>
      <c r="E26" s="77">
        <v>11</v>
      </c>
      <c r="F26" s="78">
        <v>647819</v>
      </c>
      <c r="G26" s="79">
        <v>5498551</v>
      </c>
      <c r="H26" s="77" t="s">
        <v>107</v>
      </c>
      <c r="I26" s="77" t="s">
        <v>143</v>
      </c>
      <c r="J26" s="80"/>
      <c r="K26" s="77"/>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147</v>
      </c>
    </row>
    <row r="27" spans="1:42" ht="16">
      <c r="A27" s="82">
        <v>44092</v>
      </c>
      <c r="B27" s="76"/>
      <c r="C27" s="25">
        <v>4600367</v>
      </c>
      <c r="D27" s="25" t="s">
        <v>92</v>
      </c>
      <c r="E27" s="77">
        <v>11</v>
      </c>
      <c r="F27" s="78">
        <v>643534</v>
      </c>
      <c r="G27" s="79">
        <v>5490723</v>
      </c>
      <c r="H27" s="77" t="s">
        <v>148</v>
      </c>
      <c r="I27" s="77" t="s">
        <v>150</v>
      </c>
      <c r="J27" s="80"/>
      <c r="K27" s="77" t="s">
        <v>151</v>
      </c>
      <c r="L27" s="25" t="s">
        <v>95</v>
      </c>
      <c r="M27" s="25" t="s">
        <v>128</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129</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152</v>
      </c>
    </row>
    <row r="28" spans="1:42" ht="32">
      <c r="A28" s="82">
        <v>44096</v>
      </c>
      <c r="B28" s="76"/>
      <c r="C28" s="25">
        <v>2020092201</v>
      </c>
      <c r="D28" s="25" t="s">
        <v>92</v>
      </c>
      <c r="E28" s="77">
        <v>11</v>
      </c>
      <c r="F28" s="78">
        <v>634969</v>
      </c>
      <c r="G28" s="79">
        <v>5484828</v>
      </c>
      <c r="H28" s="77" t="s">
        <v>153</v>
      </c>
      <c r="I28" s="77" t="s">
        <v>154</v>
      </c>
      <c r="J28" s="80"/>
      <c r="K28" s="77"/>
      <c r="L28" s="25" t="s">
        <v>144</v>
      </c>
      <c r="M28" s="25" t="s">
        <v>145</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155</v>
      </c>
    </row>
    <row r="29" spans="1:42" ht="32">
      <c r="A29" s="82">
        <v>44096</v>
      </c>
      <c r="B29" s="76"/>
      <c r="C29" s="25">
        <v>2020092201</v>
      </c>
      <c r="D29" s="25" t="s">
        <v>92</v>
      </c>
      <c r="E29" s="77">
        <v>11</v>
      </c>
      <c r="F29" s="78"/>
      <c r="G29" s="79"/>
      <c r="H29" s="77" t="s">
        <v>153</v>
      </c>
      <c r="I29" s="77" t="s">
        <v>156</v>
      </c>
      <c r="J29" s="80"/>
      <c r="K29" s="77"/>
      <c r="L29" s="25" t="s">
        <v>144</v>
      </c>
      <c r="M29" s="25" t="s">
        <v>145</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157</v>
      </c>
    </row>
    <row r="30" spans="1:42" ht="16">
      <c r="A30" s="82">
        <v>44096</v>
      </c>
      <c r="B30" s="76"/>
      <c r="C30" s="25">
        <v>4600077</v>
      </c>
      <c r="D30" s="25" t="s">
        <v>92</v>
      </c>
      <c r="E30" s="77">
        <v>11</v>
      </c>
      <c r="F30" s="78">
        <v>639864</v>
      </c>
      <c r="G30" s="79">
        <v>5483627</v>
      </c>
      <c r="H30" s="77" t="s">
        <v>107</v>
      </c>
      <c r="I30" s="77" t="s">
        <v>158</v>
      </c>
      <c r="J30" s="80"/>
      <c r="K30" s="77"/>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103</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159</v>
      </c>
    </row>
    <row r="31" spans="1:42" ht="16">
      <c r="A31" s="82">
        <v>44096</v>
      </c>
      <c r="B31" s="76"/>
      <c r="C31" s="25">
        <v>4600102</v>
      </c>
      <c r="D31" s="25" t="s">
        <v>160</v>
      </c>
      <c r="E31" s="77">
        <v>11</v>
      </c>
      <c r="F31" s="78">
        <v>640306</v>
      </c>
      <c r="G31" s="79">
        <v>5481672</v>
      </c>
      <c r="H31" s="77" t="s">
        <v>107</v>
      </c>
      <c r="I31" s="77" t="s">
        <v>161</v>
      </c>
      <c r="J31" s="80"/>
      <c r="K31" s="77" t="s">
        <v>151</v>
      </c>
      <c r="L31" s="25" t="s">
        <v>95</v>
      </c>
      <c r="M31" s="25"/>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103</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c r="AO31" s="114"/>
      <c r="AP31" s="25" t="s">
        <v>162</v>
      </c>
    </row>
    <row r="32" spans="1:42" ht="16">
      <c r="A32" s="82">
        <v>44096</v>
      </c>
      <c r="B32" s="76"/>
      <c r="C32" s="25">
        <v>4603265</v>
      </c>
      <c r="D32" s="25" t="s">
        <v>92</v>
      </c>
      <c r="E32" s="77">
        <v>11</v>
      </c>
      <c r="F32" s="78">
        <v>640287</v>
      </c>
      <c r="G32" s="79">
        <v>5481650</v>
      </c>
      <c r="H32" s="77" t="s">
        <v>107</v>
      </c>
      <c r="I32" s="77" t="s">
        <v>163</v>
      </c>
      <c r="J32" s="80"/>
      <c r="K32" s="77"/>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103</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164</v>
      </c>
    </row>
    <row r="33" spans="1:42" ht="16">
      <c r="A33" s="82">
        <v>44096</v>
      </c>
      <c r="B33" s="76"/>
      <c r="C33" s="25">
        <v>4600008</v>
      </c>
      <c r="D33" s="25" t="s">
        <v>92</v>
      </c>
      <c r="E33" s="77">
        <v>11</v>
      </c>
      <c r="F33" s="78"/>
      <c r="G33" s="79"/>
      <c r="H33" s="77" t="s">
        <v>107</v>
      </c>
      <c r="I33" s="77" t="s">
        <v>165</v>
      </c>
      <c r="J33" s="80"/>
      <c r="K33" s="77" t="s">
        <v>151</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103</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166</v>
      </c>
    </row>
    <row r="34" spans="1:42" ht="16">
      <c r="A34" s="82">
        <v>44096</v>
      </c>
      <c r="B34" s="76"/>
      <c r="C34" s="25">
        <v>2020092202</v>
      </c>
      <c r="D34" s="25" t="s">
        <v>92</v>
      </c>
      <c r="E34" s="77">
        <v>11</v>
      </c>
      <c r="F34" s="78">
        <v>640218</v>
      </c>
      <c r="G34" s="79">
        <v>5481065</v>
      </c>
      <c r="H34" s="77" t="s">
        <v>107</v>
      </c>
      <c r="I34" s="77" t="s">
        <v>167</v>
      </c>
      <c r="J34" s="80"/>
      <c r="K34" s="77"/>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103</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164</v>
      </c>
    </row>
    <row r="35" spans="1:42" ht="16">
      <c r="A35" s="82">
        <v>44096</v>
      </c>
      <c r="B35" s="76"/>
      <c r="C35" s="25">
        <v>2020092203</v>
      </c>
      <c r="D35" s="25" t="s">
        <v>92</v>
      </c>
      <c r="E35" s="77">
        <v>11</v>
      </c>
      <c r="F35" s="78">
        <v>640227</v>
      </c>
      <c r="G35" s="79">
        <v>5481028</v>
      </c>
      <c r="H35" s="77" t="s">
        <v>107</v>
      </c>
      <c r="I35" s="77" t="s">
        <v>122</v>
      </c>
      <c r="J35" s="80"/>
      <c r="K35" s="77"/>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103</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c r="AO35" s="114"/>
      <c r="AP35" s="25" t="s">
        <v>168</v>
      </c>
    </row>
    <row r="36" spans="1:42" ht="16">
      <c r="A36" s="82">
        <v>44090</v>
      </c>
      <c r="B36" s="76"/>
      <c r="C36" s="25">
        <v>4605636</v>
      </c>
      <c r="D36" s="25" t="s">
        <v>169</v>
      </c>
      <c r="E36" s="77">
        <v>11</v>
      </c>
      <c r="F36" s="78">
        <v>644148</v>
      </c>
      <c r="G36" s="79">
        <v>5564425</v>
      </c>
      <c r="H36" s="77" t="s">
        <v>107</v>
      </c>
      <c r="I36" s="77" t="s">
        <v>94</v>
      </c>
      <c r="J36" s="80">
        <v>123</v>
      </c>
      <c r="K36" s="77"/>
      <c r="L36" s="25" t="s">
        <v>144</v>
      </c>
      <c r="M36" s="25" t="s">
        <v>170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171</v>
      </c>
    </row>
    <row r="37" spans="1:42" ht="16">
      <c r="A37" s="82">
        <v>44090</v>
      </c>
      <c r="B37" s="76"/>
      <c r="C37" s="25">
        <v>4605707</v>
      </c>
      <c r="D37" s="25" t="s">
        <v>169</v>
      </c>
      <c r="E37" s="77">
        <v>11</v>
      </c>
      <c r="F37" s="78">
        <v>643981</v>
      </c>
      <c r="G37" s="79">
        <v>5561132</v>
      </c>
      <c r="H37" s="77" t="s">
        <v>107</v>
      </c>
      <c r="I37" s="77" t="s">
        <v>94</v>
      </c>
      <c r="J37" s="80">
        <v>119.8</v>
      </c>
      <c r="K37" s="77"/>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103</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c r="AO37" s="114"/>
      <c r="AP37" s="25" t="s">
        <v>172</v>
      </c>
    </row>
    <row r="38" spans="1:42" ht="16">
      <c r="A38" s="82">
        <v>44090</v>
      </c>
      <c r="B38" s="76"/>
      <c r="C38" s="25">
        <v>4605742</v>
      </c>
      <c r="D38" s="25" t="s">
        <v>169</v>
      </c>
      <c r="E38" s="77">
        <v>11</v>
      </c>
      <c r="F38" s="78">
        <v>643578</v>
      </c>
      <c r="G38" s="79">
        <v>5560087</v>
      </c>
      <c r="H38" s="77" t="s">
        <v>173</v>
      </c>
      <c r="I38" s="77" t="s">
        <v>94</v>
      </c>
      <c r="J38" s="80">
        <v>118.7</v>
      </c>
      <c r="K38" s="77"/>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129</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c r="AO38" s="114"/>
      <c r="AP38" s="25" t="s">
        <v>174</v>
      </c>
    </row>
    <row r="39" spans="1:42" ht="16">
      <c r="A39" s="82">
        <v>44090</v>
      </c>
      <c r="B39" s="76"/>
      <c r="C39" s="25">
        <v>4605649</v>
      </c>
      <c r="D39" s="25" t="s">
        <v>169</v>
      </c>
      <c r="E39" s="77">
        <v>11</v>
      </c>
      <c r="F39" s="78">
        <v>645873</v>
      </c>
      <c r="G39" s="79">
        <v>5556758</v>
      </c>
      <c r="H39" s="77" t="s">
        <v>107</v>
      </c>
      <c r="I39" s="77" t="s">
        <v>94</v>
      </c>
      <c r="J39" s="80">
        <v>114.5</v>
      </c>
      <c r="K39" s="77"/>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c r="AO39" s="114"/>
      <c r="AP39" s="25" t="s">
        <v>175</v>
      </c>
    </row>
    <row r="40" spans="1:42" ht="16">
      <c r="A40" s="82">
        <v>44090</v>
      </c>
      <c r="B40" s="76"/>
      <c r="C40" s="25">
        <v>4605732</v>
      </c>
      <c r="D40" s="25" t="s">
        <v>169</v>
      </c>
      <c r="E40" s="77">
        <v>11</v>
      </c>
      <c r="F40" s="78">
        <v>646735</v>
      </c>
      <c r="G40" s="79">
        <v>5554534</v>
      </c>
      <c r="H40" s="77" t="s">
        <v>107</v>
      </c>
      <c r="I40" s="77" t="s">
        <v>94</v>
      </c>
      <c r="J40" s="80">
        <v>112.3</v>
      </c>
      <c r="K40" s="77"/>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129</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c r="AO40" s="114"/>
      <c r="AP40" s="25" t="s">
        <v>176</v>
      </c>
    </row>
    <row r="41" spans="1:42" ht="16">
      <c r="A41" s="82">
        <v>44091</v>
      </c>
      <c r="B41" s="76"/>
      <c r="C41" s="25">
        <v>4600090</v>
      </c>
      <c r="D41" s="25" t="s">
        <v>169</v>
      </c>
      <c r="E41" s="77">
        <v>11</v>
      </c>
      <c r="F41" s="78">
        <v>651814</v>
      </c>
      <c r="G41" s="79">
        <v>5519652</v>
      </c>
      <c r="H41" s="77" t="s">
        <v>107</v>
      </c>
      <c r="I41" s="77" t="s">
        <v>115</v>
      </c>
      <c r="J41" s="80"/>
      <c r="K41" s="77"/>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103</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c r="AO41" s="114"/>
      <c r="AP41" s="25" t="s">
        <v>177</v>
      </c>
    </row>
    <row r="42" spans="1:42" ht="16">
      <c r="A42" s="82">
        <v>44091</v>
      </c>
      <c r="B42" s="76"/>
      <c r="C42" s="25">
        <v>4600092</v>
      </c>
      <c r="D42" s="25" t="s">
        <v>169</v>
      </c>
      <c r="E42" s="77">
        <v>11</v>
      </c>
      <c r="F42" s="78">
        <v>651701</v>
      </c>
      <c r="G42" s="79">
        <v>5521881</v>
      </c>
      <c r="H42" s="77" t="s">
        <v>140</v>
      </c>
      <c r="I42" s="77" t="s">
        <v>115</v>
      </c>
      <c r="J42" s="80"/>
      <c r="K42" s="77"/>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103</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c r="AO42" s="114"/>
      <c r="AP42" s="25" t="s">
        <v>178</v>
      </c>
    </row>
    <row r="43" spans="1:42" ht="16">
      <c r="A43" s="82">
        <v>44091</v>
      </c>
      <c r="B43" s="76"/>
      <c r="C43" s="25">
        <v>4600039</v>
      </c>
      <c r="D43" s="25" t="s">
        <v>169</v>
      </c>
      <c r="E43" s="77">
        <v>11</v>
      </c>
      <c r="F43" s="78">
        <v>651833</v>
      </c>
      <c r="G43" s="79">
        <v>5522544</v>
      </c>
      <c r="H43" s="77" t="s">
        <v>119</v>
      </c>
      <c r="I43" s="77" t="s">
        <v>115</v>
      </c>
      <c r="J43" s="80"/>
      <c r="K43" s="77"/>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c r="AO43" s="114"/>
      <c r="AP43" s="25" t="s">
        <v>179</v>
      </c>
    </row>
    <row r="44" spans="1:42" ht="16">
      <c r="A44" s="82">
        <v>44091</v>
      </c>
      <c r="B44" s="76"/>
      <c r="C44" s="25">
        <v>4600070</v>
      </c>
      <c r="D44" s="25" t="s">
        <v>169</v>
      </c>
      <c r="E44" s="77">
        <v>11</v>
      </c>
      <c r="F44" s="78">
        <v>651516</v>
      </c>
      <c r="G44" s="79">
        <v>5528829</v>
      </c>
      <c r="H44" s="77" t="s">
        <v>126</v>
      </c>
      <c r="I44" s="77" t="s">
        <v>132</v>
      </c>
      <c r="J44" s="80"/>
      <c r="K44" s="77" t="s">
        <v>151</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c r="AO44" s="114"/>
      <c r="AP44" s="25" t="s">
        <v>180</v>
      </c>
    </row>
    <row r="45" spans="1:42" ht="16">
      <c r="A45" s="82">
        <v>44092</v>
      </c>
      <c r="B45" s="76"/>
      <c r="C45" s="25">
        <v>4600181</v>
      </c>
      <c r="D45" s="25" t="s">
        <v>169</v>
      </c>
      <c r="E45" s="77">
        <v>11</v>
      </c>
      <c r="F45" s="78">
        <v>652322</v>
      </c>
      <c r="G45" s="79">
        <v>5527529</v>
      </c>
      <c r="H45" s="77" t="s">
        <v>107</v>
      </c>
      <c r="I45" s="77" t="s">
        <v>181</v>
      </c>
      <c r="J45" s="80"/>
      <c r="K45" s="77"/>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103</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c r="AO45" s="114"/>
      <c r="AP45" s="25" t="s">
        <v>182</v>
      </c>
    </row>
    <row r="46" spans="1:42" ht="16">
      <c r="A46" s="82">
        <v>44092</v>
      </c>
      <c r="B46" s="76"/>
      <c r="C46" s="25">
        <v>4600186</v>
      </c>
      <c r="D46" s="25" t="s">
        <v>169</v>
      </c>
      <c r="E46" s="77">
        <v>11</v>
      </c>
      <c r="F46" s="78">
        <v>651051</v>
      </c>
      <c r="G46" s="79">
        <v>5519343</v>
      </c>
      <c r="H46" s="77" t="s">
        <v>183</v>
      </c>
      <c r="I46" s="77" t="s">
        <v>132</v>
      </c>
      <c r="J46" s="80"/>
      <c r="K46" s="77" t="s">
        <v>151</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103</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c r="AO46" s="114"/>
      <c r="AP46" s="25" t="s">
        <v>184</v>
      </c>
    </row>
    <row r="47" spans="1:42" ht="16">
      <c r="A47" s="82">
        <v>44092</v>
      </c>
      <c r="B47" s="76"/>
      <c r="C47" s="25">
        <v>4600140</v>
      </c>
      <c r="D47" s="25" t="s">
        <v>169</v>
      </c>
      <c r="E47" s="77">
        <v>11</v>
      </c>
      <c r="F47" s="78">
        <v>651110</v>
      </c>
      <c r="G47" s="79">
        <v>5515356</v>
      </c>
      <c r="H47" s="77" t="s">
        <v>185</v>
      </c>
      <c r="I47" s="77" t="s">
        <v>132</v>
      </c>
      <c r="J47" s="80"/>
      <c r="K47" s="77" t="s">
        <v>151</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103</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c r="AO47" s="114"/>
      <c r="AP47" s="25" t="s">
        <v>186</v>
      </c>
    </row>
    <row r="48" spans="1:42" ht="16">
      <c r="A48" s="82">
        <v>44094</v>
      </c>
      <c r="B48" s="76"/>
      <c r="C48" s="25">
        <v>4601129</v>
      </c>
      <c r="D48" s="25" t="s">
        <v>169</v>
      </c>
      <c r="E48" s="77">
        <v>11</v>
      </c>
      <c r="F48" s="78">
        <v>661062</v>
      </c>
      <c r="G48" s="79">
        <v>5524446</v>
      </c>
      <c r="H48" s="77" t="s">
        <v>187</v>
      </c>
      <c r="I48" s="77"/>
      <c r="J48" s="80"/>
      <c r="K48" s="77"/>
      <c r="L48" s="25" t="s">
        <v>134</v>
      </c>
      <c r="M48" s="25" t="s">
        <v>135</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188</v>
      </c>
    </row>
    <row r="49" spans="1:42" ht="16">
      <c r="A49" s="82">
        <v>44094</v>
      </c>
      <c r="B49" s="76"/>
      <c r="C49" s="25">
        <v>4602533</v>
      </c>
      <c r="D49" s="25" t="s">
        <v>169</v>
      </c>
      <c r="E49" s="77">
        <v>11</v>
      </c>
      <c r="F49" s="78">
        <v>661172</v>
      </c>
      <c r="G49" s="79">
        <v>5524451</v>
      </c>
      <c r="H49" s="77" t="s">
        <v>187</v>
      </c>
      <c r="I49" s="77"/>
      <c r="J49" s="80"/>
      <c r="K49" s="77"/>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103</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c r="AO49" s="114"/>
      <c r="AP49" s="25" t="s">
        <v>189</v>
      </c>
    </row>
    <row r="50" spans="1:42" ht="32">
      <c r="A50" s="82">
        <v>44094</v>
      </c>
      <c r="B50" s="76"/>
      <c r="C50" s="25">
        <v>4602270</v>
      </c>
      <c r="D50" s="25" t="s">
        <v>169</v>
      </c>
      <c r="E50" s="77">
        <v>11</v>
      </c>
      <c r="F50" s="78">
        <v>655441</v>
      </c>
      <c r="G50" s="79">
        <v>5524175</v>
      </c>
      <c r="H50" s="77" t="s">
        <v>190</v>
      </c>
      <c r="I50" s="77"/>
      <c r="J50" s="80"/>
      <c r="K50" s="77"/>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103</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c r="AO50" s="114"/>
      <c r="AP50" s="25" t="s">
        <v>191</v>
      </c>
    </row>
    <row r="51" spans="1:42" ht="32">
      <c r="A51" s="82">
        <v>44097</v>
      </c>
      <c r="B51" s="76"/>
      <c r="C51" s="25">
        <v>20200923010</v>
      </c>
      <c r="D51" s="25" t="s">
        <v>169</v>
      </c>
      <c r="E51" s="77">
        <v>11</v>
      </c>
      <c r="F51" s="78">
        <v>636029</v>
      </c>
      <c r="G51" s="79">
        <v>5484419</v>
      </c>
      <c r="H51" s="77" t="s">
        <v>153</v>
      </c>
      <c r="I51" s="77" t="s">
        <v>154</v>
      </c>
      <c r="J51" s="80">
        <v>1</v>
      </c>
      <c r="K51" s="77"/>
      <c r="L51" s="25" t="s">
        <v>144</v>
      </c>
      <c r="M51" s="25" t="s">
        <v>145</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192</v>
      </c>
    </row>
    <row r="52" spans="1:42" ht="16">
      <c r="A52" s="82">
        <v>44097</v>
      </c>
      <c r="B52" s="76"/>
      <c r="C52" s="25">
        <v>4600130</v>
      </c>
      <c r="D52" s="25" t="s">
        <v>169</v>
      </c>
      <c r="E52" s="77">
        <v>11</v>
      </c>
      <c r="F52" s="78">
        <v>640037</v>
      </c>
      <c r="G52" s="79">
        <v>5483655</v>
      </c>
      <c r="H52" s="77" t="s">
        <v>107</v>
      </c>
      <c r="I52" s="77" t="s">
        <v>193</v>
      </c>
      <c r="J52" s="80"/>
      <c r="K52" s="77"/>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103</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c r="AO52" s="114"/>
      <c r="AP52" s="25" t="s">
        <v>194</v>
      </c>
    </row>
    <row r="53" spans="1:42" ht="16">
      <c r="A53" s="82">
        <v>44097</v>
      </c>
      <c r="B53" s="76"/>
      <c r="C53" s="25">
        <v>4606807</v>
      </c>
      <c r="D53" s="25" t="s">
        <v>169</v>
      </c>
      <c r="E53" s="77">
        <v>11</v>
      </c>
      <c r="F53" s="78">
        <v>639952</v>
      </c>
      <c r="G53" s="79">
        <v>5483636</v>
      </c>
      <c r="H53" s="77" t="s">
        <v>107</v>
      </c>
      <c r="I53" s="77" t="s">
        <v>163</v>
      </c>
      <c r="J53" s="80"/>
      <c r="K53" s="77"/>
      <c r="L53" s="25" t="s">
        <v>95</v>
      </c>
      <c r="M53" s="25" t="s">
        <v>195</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103</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196</v>
      </c>
    </row>
    <row r="54" spans="1:42" ht="16">
      <c r="A54" s="82">
        <v>44097</v>
      </c>
      <c r="B54" s="76"/>
      <c r="C54" s="25">
        <v>4600080</v>
      </c>
      <c r="D54" s="25" t="s">
        <v>169</v>
      </c>
      <c r="E54" s="77">
        <v>11</v>
      </c>
      <c r="F54" s="78">
        <v>640568</v>
      </c>
      <c r="G54" s="79">
        <v>5481516</v>
      </c>
      <c r="H54" s="77" t="s">
        <v>107</v>
      </c>
      <c r="I54" s="77" t="s">
        <v>193</v>
      </c>
      <c r="J54" s="80"/>
      <c r="K54" s="77"/>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103</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c r="AO54" s="114"/>
      <c r="AP54" s="25" t="s">
        <v>197</v>
      </c>
    </row>
    <row r="55" spans="1:42" ht="16">
      <c r="A55" s="82">
        <v>44097</v>
      </c>
      <c r="B55" s="76"/>
      <c r="C55" s="25">
        <v>4603291</v>
      </c>
      <c r="D55" s="25" t="s">
        <v>169</v>
      </c>
      <c r="E55" s="77">
        <v>11</v>
      </c>
      <c r="F55" s="78">
        <v>640891</v>
      </c>
      <c r="G55" s="79">
        <v>5480517</v>
      </c>
      <c r="H55" s="77" t="s">
        <v>198</v>
      </c>
      <c r="I55" s="77" t="s">
        <v>193</v>
      </c>
      <c r="J55" s="80"/>
      <c r="K55" s="77"/>
      <c r="L55" s="25" t="s">
        <v>95</v>
      </c>
      <c r="M55" s="25"/>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103</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c r="AO55" s="114"/>
      <c r="AP55" s="25" t="s">
        <v>199</v>
      </c>
    </row>
    <row r="56" spans="1:42" ht="16">
      <c r="A56" s="82">
        <v>44097</v>
      </c>
      <c r="B56" s="76"/>
      <c r="C56" s="25">
        <v>4600316</v>
      </c>
      <c r="D56" s="25" t="s">
        <v>169</v>
      </c>
      <c r="E56" s="77">
        <v>11</v>
      </c>
      <c r="F56" s="78">
        <v>641167</v>
      </c>
      <c r="G56" s="79">
        <v>5479429</v>
      </c>
      <c r="H56" s="77" t="s">
        <v>107</v>
      </c>
      <c r="I56" s="77" t="s">
        <v>193</v>
      </c>
      <c r="J56" s="80"/>
      <c r="K56" s="77"/>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103</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c r="AO56" s="114"/>
      <c r="AP56" s="25" t="s">
        <v>200</v>
      </c>
    </row>
    <row r="57" spans="1:42" ht="16">
      <c r="A57" s="82">
        <v>44097</v>
      </c>
      <c r="B57" s="76"/>
      <c r="C57" s="25">
        <v>4601594</v>
      </c>
      <c r="D57" s="25" t="s">
        <v>169</v>
      </c>
      <c r="E57" s="77">
        <v>11</v>
      </c>
      <c r="F57" s="78">
        <v>641090</v>
      </c>
      <c r="G57" s="79">
        <v>5479392</v>
      </c>
      <c r="H57" s="77" t="s">
        <v>107</v>
      </c>
      <c r="I57" s="77" t="s">
        <v>163</v>
      </c>
      <c r="J57" s="80"/>
      <c r="K57" s="77"/>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103</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c r="AO57" s="114"/>
      <c r="AP57" s="25" t="s">
        <v>201</v>
      </c>
    </row>
    <row r="58" spans="1:42" ht="32">
      <c r="A58" s="82">
        <v>44098</v>
      </c>
      <c r="B58" s="76"/>
      <c r="C58" s="25">
        <v>4600169</v>
      </c>
      <c r="D58" s="25" t="s">
        <v>169</v>
      </c>
      <c r="E58" s="77">
        <v>11</v>
      </c>
      <c r="F58" s="78">
        <v>638850</v>
      </c>
      <c r="G58" s="79">
        <v>5480833</v>
      </c>
      <c r="H58" s="77" t="s">
        <v>107</v>
      </c>
      <c r="I58" s="77" t="s">
        <v>202</v>
      </c>
      <c r="J58" s="80"/>
      <c r="K58" s="77"/>
      <c r="L58" s="25" t="s">
        <v>95</v>
      </c>
      <c r="M58" s="25"/>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c r="AO58" s="114"/>
      <c r="AP58" s="25" t="s">
        <v>203</v>
      </c>
    </row>
    <row r="59" spans="1:42" ht="16">
      <c r="A59" s="82">
        <v>44098</v>
      </c>
      <c r="B59" s="76"/>
      <c r="C59" s="25">
        <v>4600134</v>
      </c>
      <c r="D59" s="25" t="s">
        <v>169</v>
      </c>
      <c r="E59" s="77">
        <v>11</v>
      </c>
      <c r="F59" s="78">
        <v>638639</v>
      </c>
      <c r="G59" s="79">
        <v>5480681</v>
      </c>
      <c r="H59" s="77" t="s">
        <v>107</v>
      </c>
      <c r="I59" s="77" t="s">
        <v>204</v>
      </c>
      <c r="J59" s="80"/>
      <c r="K59" s="77"/>
      <c r="L59" s="25" t="s">
        <v>95</v>
      </c>
      <c r="M59" s="25"/>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103</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c r="AO59" s="114"/>
      <c r="AP59" s="25" t="s">
        <v>205</v>
      </c>
    </row>
    <row r="60" spans="1:42" ht="16">
      <c r="A60" s="82">
        <v>44098</v>
      </c>
      <c r="B60" s="76"/>
      <c r="C60" s="25">
        <v>4604455</v>
      </c>
      <c r="D60" s="25" t="s">
        <v>169</v>
      </c>
      <c r="E60" s="77">
        <v>11</v>
      </c>
      <c r="F60" s="78">
        <v>638669</v>
      </c>
      <c r="G60" s="79">
        <v>5480601</v>
      </c>
      <c r="H60" s="77" t="s">
        <v>107</v>
      </c>
      <c r="I60" s="77" t="s">
        <v>204</v>
      </c>
      <c r="J60" s="80"/>
      <c r="K60" s="77"/>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103</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206</v>
      </c>
    </row>
    <row r="61" spans="1:42" ht="16">
      <c r="A61" s="82">
        <v>44098</v>
      </c>
      <c r="B61" s="76"/>
      <c r="C61" s="25">
        <v>4601639</v>
      </c>
      <c r="D61" s="25" t="s">
        <v>169</v>
      </c>
      <c r="E61" s="77">
        <v>11</v>
      </c>
      <c r="F61" s="78">
        <v>638630</v>
      </c>
      <c r="G61" s="79">
        <v>5480655</v>
      </c>
      <c r="H61" s="77" t="s">
        <v>107</v>
      </c>
      <c r="I61" s="77" t="s">
        <v>204</v>
      </c>
      <c r="J61" s="80"/>
      <c r="K61" s="77"/>
      <c r="L61" s="25" t="s">
        <v>95</v>
      </c>
      <c r="M61" s="25"/>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103</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c r="AO61" s="114"/>
      <c r="AP61" s="25" t="s">
        <v>207</v>
      </c>
    </row>
    <row r="62" spans="1:42" ht="16">
      <c r="A62" s="82">
        <v>44098</v>
      </c>
      <c r="B62" s="76"/>
      <c r="C62" s="25">
        <v>4601556</v>
      </c>
      <c r="D62" s="25" t="s">
        <v>169</v>
      </c>
      <c r="E62" s="77">
        <v>11</v>
      </c>
      <c r="F62" s="78">
        <v>638522</v>
      </c>
      <c r="G62" s="79">
        <v>5480616</v>
      </c>
      <c r="H62" s="77" t="s">
        <v>107</v>
      </c>
      <c r="I62" s="77" t="s">
        <v>204</v>
      </c>
      <c r="J62" s="80"/>
      <c r="K62" s="77"/>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103</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c r="AO62" s="114"/>
      <c r="AP62" s="25" t="s">
        <v>208</v>
      </c>
    </row>
    <row r="63" spans="1:42" ht="16">
      <c r="A63" s="82">
        <v>44098</v>
      </c>
      <c r="B63" s="76"/>
      <c r="C63" s="25">
        <v>4602349</v>
      </c>
      <c r="D63" s="25" t="s">
        <v>169</v>
      </c>
      <c r="E63" s="77">
        <v>11</v>
      </c>
      <c r="F63" s="78">
        <v>638525</v>
      </c>
      <c r="G63" s="79">
        <v>5481496</v>
      </c>
      <c r="H63" s="77" t="s">
        <v>107</v>
      </c>
      <c r="I63" s="77" t="s">
        <v>209</v>
      </c>
      <c r="J63" s="80"/>
      <c r="K63" s="77"/>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c r="AO63" s="114"/>
      <c r="AP63" s="25" t="s">
        <v>210</v>
      </c>
    </row>
    <row r="64" spans="1:42">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uo/5H6jDZYm7M5k4B1oZQu72w3TU7FO0trbG/F5xbKgB9PsAw5+iu+eTHFB3D7oIZBUyKB335idjYsTdeA+75g==" saltValue="/MJoQg6OIQRVf+gAoltxV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202">
    <dataValidation type="list" allowBlank="1" showInputMessage="1" showErrorMessage="1" sqref="AM5284:AM65536" xr:uid="{00000000-0002-0000-0200-000000000000}">
      <formula1>"Passable, Potential, Barrier, Unkown"</formula1>
    </dataValidation>
    <dataValidation type="list" allowBlank="1" showInputMessage="1" showErrorMessage="1" sqref="M6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4: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5"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2243BF22-1912-DA48-9A59-1FC866E97C82}">
      <formula1>0.01</formula1>
      <formula2>0.89</formula2>
    </dataValidation>
    <dataValidation type="list" allowBlank="1" showInputMessage="1" showErrorMessage="1" errorTitle="Invalid value entered" error="The crossing subtype is not compatible with a crossing type of Closed Bottom Structure" sqref="M6" xr:uid="{0CB3C868-6A4B-894A-A6C8-1CB58A4990DC}">
      <formula1>"Round Culvert,Oval Culvert,Concrete Box"</formula1>
    </dataValidation>
    <dataValidation type="decimal" allowBlank="1" showInputMessage="1" showErrorMessage="1" errorTitle="Invalid Diamter or Span" error="The Diameter or Span entered is invalid. Diameter or Span must be &gt; 0 and &lt; 300" sqref="N6" xr:uid="{F16BE296-A098-4640-A12B-1BE5111D3A41}">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 xr:uid="{A0CB3F0D-75EA-E945-8AA8-F7484C1B1312}">
      <formula1>0.01</formula1>
      <formula2>0.59</formula2>
    </dataValidation>
    <dataValidation type="list" allowBlank="1" showInputMessage="1" showErrorMessage="1" errorTitle="Invalid value entered" error="The crossing subtype is not compatible with a crossing type of Closed Bottom Structure" sqref="M7" xr:uid="{76F14492-A9E4-124A-BB24-55D66FB4107D}">
      <formula1>"Round Culvert,Oval Culvert,Concrete Box"</formula1>
    </dataValidation>
    <dataValidation type="decimal" allowBlank="1" showInputMessage="1" showErrorMessage="1" errorTitle="Invalid Diamter or Span" error="The Diameter or Span entered is invalid. Diameter or Span must be &gt; 0 and &lt; 300" sqref="N7" xr:uid="{16F40A7F-561F-AC41-BB8A-81AC6E4D4BD2}">
      <formula1>0.01</formula1>
      <formula2>300</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list" allowBlank="1" showInputMessage="1" showErrorMessage="1" errorTitle="Invalid value entered" error="The crossing subtype is not compatible with a crossing type of Closed Bottom Structure" sqref="M8" xr:uid="{9F9FECFC-922A-0E4C-9C00-C90AF55EF861}">
      <formula1>"Round Culvert,Oval Culvert,Concrete Box"</formula1>
    </dataValidation>
    <dataValidation type="decimal" allowBlank="1" showInputMessage="1" showErrorMessage="1" errorTitle="Invalid Diamter or Span" error="The Diameter or Span entered is invalid. Diameter or Span must be &gt; 0 and &lt; 300" sqref="N8" xr:uid="{805097FB-7B34-7842-9228-9D8350E704E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3A3C954F-76BB-CC4B-B149-911CDB5F60A6}">
      <formula1>0.01</formula1>
      <formula2>0.59</formula2>
    </dataValidation>
    <dataValidation type="list" allowBlank="1" showInputMessage="1" showErrorMessage="1" errorTitle="Invalid value entered" error="The crossing subtype is not compatible with a crossing type of Closed Bottom Structure" sqref="M9" xr:uid="{EE33EF14-F9CA-5F4B-9EB8-28DDC617087E}">
      <formula1>"Round Culvert,Oval Culvert,Concrete Box"</formula1>
    </dataValidation>
    <dataValidation type="decimal" allowBlank="1" showInputMessage="1" showErrorMessage="1" errorTitle="Invalid Diamter or Span" error="The Diameter or Span entered is invalid. Diameter or Span must be &gt; 0 and &lt; 300" sqref="N9" xr:uid="{7B5EDCEA-5A2D-B845-BFF5-B76E6D9547E8}">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9" xr:uid="{56E3F55A-6A3B-6246-8AF0-5ECF18E1C62A}">
      <formula1>0.01</formula1>
      <formula2>0.39</formula2>
    </dataValidation>
    <dataValidation type="list" allowBlank="1" showInputMessage="1" showErrorMessage="1" errorTitle="Invalid value entered" error="The crossing subtype is not compatible with a crossing type of Closed Bottom Structure" sqref="M10" xr:uid="{23802B39-8FB3-A24F-ABCA-D92B6FF6E811}">
      <formula1>"Round Culvert,Oval Culvert,Concrete Box"</formula1>
    </dataValidation>
    <dataValidation type="decimal" allowBlank="1" showInputMessage="1" showErrorMessage="1" errorTitle="Invalid Diamter or Span" error="The Diameter or Span entered is invalid. Diameter or Span must be &gt; 0 and &lt; 300" sqref="N10" xr:uid="{57F2757F-8095-804B-94F9-59267D149D58}">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10" xr:uid="{6530DF0F-9E6F-0D42-A5E7-FBFD55056AE6}">
      <formula1>0.01</formula1>
      <formula2>0.39</formula2>
    </dataValidation>
    <dataValidation type="list" allowBlank="1" showInputMessage="1" showErrorMessage="1" errorTitle="Invalid value entered" error="The crossing subtype is not compatible with a crossing type of Closed Bottom Structure" sqref="M11" xr:uid="{6948E0D2-6D67-DC46-9C20-30F7A7E0D659}">
      <formula1>"Round Culvert,Oval Culvert,Concrete Box"</formula1>
    </dataValidation>
    <dataValidation type="decimal" allowBlank="1" showInputMessage="1" showErrorMessage="1" errorTitle="Invalid Diamter or Span" error="The Diameter or Span entered is invalid. Diameter or Span must be &gt; 0 and &lt; 300" sqref="N11" xr:uid="{2F8D71F4-F57F-2844-B178-3115E18AFF8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5D6BE724-21F0-B64A-8FB9-A331E0A97E2C}">
      <formula1>0.01</formula1>
      <formula2>1.19</formula2>
    </dataValidation>
    <dataValidation type="list" allowBlank="1" showInputMessage="1" showErrorMessage="1" errorTitle="Invalid value entered" error="The crossing subtype is not compatible with a crossing type of Closed Bottom Structure" sqref="M12" xr:uid="{C0249C2A-1D6C-9346-9FDB-A7E238D2B03D}">
      <formula1>"Round Culvert,Oval Culvert,Concrete Box"</formula1>
    </dataValidation>
    <dataValidation type="decimal" allowBlank="1" showInputMessage="1" showErrorMessage="1" errorTitle="Invalid Diamter or Span" error="The Diameter or Span entered is invalid. Diameter or Span must be &gt; 0 and &lt; 300" sqref="N12" xr:uid="{C5A60C0A-3509-3B4A-8E98-8BB6954309C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2" xr:uid="{E57BAF6F-62E4-0A4B-8E91-01C03D8C83EF}">
      <formula1>0.01</formula1>
      <formula2>1.49</formula2>
    </dataValidation>
    <dataValidation type="list" allowBlank="1" showInputMessage="1" showErrorMessage="1" errorTitle="Invalid value entered" error="The crossing subtype is not compatible with a crossing type of Closed Bottom Structure" sqref="M13" xr:uid="{57907531-B81B-7346-882E-3EAF8F0D6332}">
      <formula1>"Round Culvert,Oval Culvert,Concrete Box"</formula1>
    </dataValidation>
    <dataValidation type="decimal" allowBlank="1" showInputMessage="1" showErrorMessage="1" errorTitle="Invalid Diamter or Span" error="The Diameter or Span entered is invalid. Diameter or Span must be &gt; 0 and &lt; 300" sqref="N13" xr:uid="{C6349B61-3C96-B74B-A4F6-4BF36074AF5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3" xr:uid="{4534E6FF-7F1C-074E-8445-28FD103D95CE}">
      <formula1>0.01</formula1>
      <formula2>0.59</formula2>
    </dataValidation>
    <dataValidation type="list" allowBlank="1" showInputMessage="1" showErrorMessage="1" errorTitle="Invalid value entered" error="The crossing subtype is not compatible with a crossing type of Closed Bottom Structure" sqref="M14" xr:uid="{8E8BEA08-7ABF-3449-9B87-90D15014E0A8}">
      <formula1>"Round Culvert,Oval Culvert,Concrete Box"</formula1>
    </dataValidation>
    <dataValidation type="decimal" allowBlank="1" showInputMessage="1" showErrorMessage="1" errorTitle="Invalid Diamter or Span" error="The Diameter or Span entered is invalid. Diameter or Span must be &gt; 0 and &lt; 300" sqref="N14" xr:uid="{6D4C5D33-911A-6F46-9F89-3CEBBB047D8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4" xr:uid="{F5E1E4B6-7758-C745-9226-E368D7FAE695}">
      <formula1>0.01</formula1>
      <formula2>0.59</formula2>
    </dataValidation>
    <dataValidation type="list" allowBlank="1" showInputMessage="1" showErrorMessage="1" errorTitle="Invalid value entered" error="The crossing subtype is not compatible with a crossing type of Closed Bottom Structure" sqref="M15" xr:uid="{253F471D-58AF-F448-8F4D-34A1687A3467}">
      <formula1>"Round Culvert,Oval Culvert,Concrete Box"</formula1>
    </dataValidation>
    <dataValidation type="decimal" allowBlank="1" showInputMessage="1" showErrorMessage="1" errorTitle="Invalid Diamter or Span" error="The Diameter or Span entered is invalid. Diameter or Span must be &gt; 0 and &lt; 300" sqref="N15" xr:uid="{F9615C87-4D23-CA41-82E2-ABD14326CCF3}">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5" xr:uid="{862B8D57-0995-3E44-A6C1-B2B3A249CBF9}">
      <formula1>0.01</formula1>
      <formula2>0.89</formula2>
    </dataValidation>
    <dataValidation type="list" allowBlank="1" showInputMessage="1" showErrorMessage="1" errorTitle="Invalid value entered" error="The crossing subtype is not compatible with a crossing type of Closed Bottom Structure" sqref="M16" xr:uid="{2B3E6B7F-EBD1-6644-900F-3F060F3A1C8D}">
      <formula1>"Round Culvert,Oval Culvert,Concrete Box"</formula1>
    </dataValidation>
    <dataValidation type="decimal" allowBlank="1" showInputMessage="1" showErrorMessage="1" errorTitle="Invalid Diamter or Span" error="The Diameter or Span entered is invalid. Diameter or Span must be &gt; 0 and &lt; 300" sqref="N16" xr:uid="{3043307D-1264-3843-BF13-B10E0B25E194}">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16" xr:uid="{15CFC4DB-92D2-4F4D-B268-0279BE741A4F}">
      <formula1>0.01</formula1>
      <formula2>0.74</formula2>
    </dataValidation>
    <dataValidation type="list" allowBlank="1" showInputMessage="1" showErrorMessage="1" errorTitle="Invalid value entered" error="The crossing subtype is not compatible with a crossing type of Closed Bottom Structure" sqref="M17" xr:uid="{60C701E7-F92D-414B-ADF4-15243054F088}">
      <formula1>"Round Culvert,Oval Culvert,Concrete Box"</formula1>
    </dataValidation>
    <dataValidation type="decimal" allowBlank="1" showInputMessage="1" showErrorMessage="1" errorTitle="Invalid Diamter or Span" error="The Diameter or Span entered is invalid. Diameter or Span must be &gt; 0 and &lt; 300" sqref="N17" xr:uid="{0B17F1FB-0B5F-8248-A5DF-B1A3BE6374C9}">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17" xr:uid="{486D0BE7-0E15-8F46-9DA3-DA14EA39B0A3}">
      <formula1>0.01</formula1>
      <formula2>0.74</formula2>
    </dataValidation>
    <dataValidation type="list" allowBlank="1" showInputMessage="1" showErrorMessage="1" errorTitle="Invalid value entered" error="The crossing subtype is not compatible with a crossing type of Closed Bottom Structure" sqref="M18" xr:uid="{13F72A3E-400B-3F44-BD92-8A5921BA59DC}">
      <formula1>"Round Culvert,Oval Culvert,Concrete Box"</formula1>
    </dataValidation>
    <dataValidation type="decimal" allowBlank="1" showInputMessage="1" showErrorMessage="1" errorTitle="Invalid Diamter or Span" error="The Diameter or Span entered is invalid. Diameter or Span must be &gt; 0 and &lt; 300" sqref="N18" xr:uid="{9C6324C8-7655-A44E-BE23-34477E65DB5C}">
      <formula1>0.01</formula1>
      <formula2>300</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list" allowBlank="1" showInputMessage="1" showErrorMessage="1" errorTitle="Invalid value entered" error="The crossing subtype is not compatible with a crossing type of Closed Bottom Structure" sqref="M19" xr:uid="{F4A3606E-F85E-A948-BD0D-5F12D7F56838}">
      <formula1>"Round Culvert,Oval Culvert,Concrete Box"</formula1>
    </dataValidation>
    <dataValidation type="decimal" allowBlank="1" showInputMessage="1" showErrorMessage="1" errorTitle="Invalid Diamter or Span" error="The Diameter or Span entered is invalid. Diameter or Span must be &gt; 0 and &lt; 300" sqref="N19" xr:uid="{00BB8CE2-52B7-B54E-824B-8AC73D54E023}">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20" xr:uid="{E0A10C0E-5B01-634D-97EB-1866DB1C08CC}">
      <formula1>"Ford"</formula1>
    </dataValidation>
    <dataValidation type="list" allowBlank="1" showInputMessage="1" showErrorMessage="1" errorTitle="Invalid value entered" error="The crossing subtype is not compatible with a crossing type of Other" sqref="M21" xr:uid="{086A48F8-1ACD-9C4D-801F-D44107D50907}">
      <formula1>"Ford"</formula1>
    </dataValidation>
    <dataValidation type="list" allowBlank="1" showInputMessage="1" showErrorMessage="1" errorTitle="Invalid value entered" error="The crossing subtype is not compatible with a crossing type of Closed Bottom Structure" sqref="M22" xr:uid="{7CB44F5D-35EF-4442-97B2-D8729DF76C91}">
      <formula1>"Round Culvert,Oval Culvert,Concrete Box"</formula1>
    </dataValidation>
    <dataValidation type="decimal" allowBlank="1" showInputMessage="1" showErrorMessage="1" errorTitle="Invalid Diamter or Span" error="The Diameter or Span entered is invalid. Diameter or Span must be &gt; 0 and &lt; 300" sqref="N22" xr:uid="{0E884426-59F0-C848-83AB-3FAB7385A885}">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2" xr:uid="{1F98E24D-8B3F-524B-B649-0997960A5ED6}">
      <formula1>0.01</formula1>
      <formula2>0.59</formula2>
    </dataValidation>
    <dataValidation type="list" allowBlank="1" showInputMessage="1" showErrorMessage="1" errorTitle="Invalid value entered" error="The crossing subtype is not compatible with a crossing type of Closed Bottom Structure" sqref="M23" xr:uid="{FDC1D39C-7CE3-CF42-8A47-D83B4303D8A5}">
      <formula1>"Round Culvert,Oval Culvert,Concrete Box"</formula1>
    </dataValidation>
    <dataValidation type="decimal" allowBlank="1" showInputMessage="1" showErrorMessage="1" errorTitle="Invalid Diamter or Span" error="The Diameter or Span entered is invalid. Diameter or Span must be &gt; 0 and &lt; 300" sqref="N23" xr:uid="{1D9BC42C-0C56-9D4E-9490-CF8CF56410AC}">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3" xr:uid="{84B6C0D9-5FFB-F543-8236-89DAB3A5A30E}">
      <formula1>0.01</formula1>
      <formula2>0.89</formula2>
    </dataValidation>
    <dataValidation type="list" allowBlank="1" showInputMessage="1" showErrorMessage="1" errorTitle="Invalid value entered" error="The crossing subtype is not compatible with a crossing type of Open Bottom Structure" sqref="M24"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24"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 xr:uid="{964890B8-5F1B-744C-84D0-6857F6C5D3A5}">
      <formula1>0.01</formula1>
      <formula2>3.99</formula2>
    </dataValidation>
    <dataValidation type="list" allowBlank="1" showInputMessage="1" showErrorMessage="1" errorTitle="Invalid value entered" error="The crossing subtype is not compatible with a crossing type of Open Bottom Structure" sqref="M25" xr:uid="{15588054-E953-1848-BE5E-BFBABC75CA66}">
      <formula1>"Bridge, Pipe Arch, Wood Box Culvert"</formula1>
    </dataValidation>
    <dataValidation type="decimal" allowBlank="1" showInputMessage="1" showErrorMessage="1" errorTitle="Invalid Diamter or Span" error="The Diameter or Span entered is invalid. Diameter or Span must be &gt; 0 and &lt; 100" sqref="N25" xr:uid="{B658EB4A-1DAD-9F4B-93FA-25E026376E31}">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5" xr:uid="{A3D047A5-DFCD-1C4B-AE4B-3AC248D8EC75}">
      <formula1>0.01</formula1>
      <formula2>3.99</formula2>
    </dataValidation>
    <dataValidation type="list" allowBlank="1" showInputMessage="1" showErrorMessage="1" errorTitle="Invalid value entered" error="The crossing subtype is not compatible with a crossing type of Closed Bottom Structure" sqref="M26" xr:uid="{A51C3AEE-3193-B645-9514-BDE3A88C806C}">
      <formula1>"Round Culvert,Oval Culvert,Concrete Box"</formula1>
    </dataValidation>
    <dataValidation type="decimal" allowBlank="1" showInputMessage="1" showErrorMessage="1" errorTitle="Invalid Diamter or Span" error="The Diameter or Span entered is invalid. Diameter or Span must be &gt; 0 and &lt; 300" sqref="N26" xr:uid="{114A7F0E-1A37-2D4F-9931-C38FA62AC782}">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26" xr:uid="{81576A2D-645F-C14F-90DB-CAD1D074D0D5}">
      <formula1>0.01</formula1>
      <formula2>0.79</formula2>
    </dataValidation>
    <dataValidation type="list" allowBlank="1" showInputMessage="1" showErrorMessage="1" errorTitle="Invalid value entered" error="The crossing subtype is not compatible with a crossing type of Closed Bottom Structure" sqref="M27" xr:uid="{4066216E-047E-5645-BE2D-1B1152F44328}">
      <formula1>"Round Culvert,Oval Culvert,Concrete Box"</formula1>
    </dataValidation>
    <dataValidation type="decimal" allowBlank="1" showInputMessage="1" showErrorMessage="1" errorTitle="Invalid Diamter or Span" error="The Diameter or Span entered is invalid. Diameter or Span must be &gt; 0 and &lt; 300" sqref="N27" xr:uid="{253EA8D0-5605-5F4D-B12C-3FB21A4815C3}">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list" allowBlank="1" showInputMessage="1" showErrorMessage="1" errorTitle="Invalid value entered" error="The crossing subtype is not compatible with a crossing type of Open Bottom Structure" sqref="M28" xr:uid="{B426D6CA-06DE-CC40-A06F-0AAE1A69688C}">
      <formula1>"Bridge, Pipe Arch, Wood Box Culvert"</formula1>
    </dataValidation>
    <dataValidation type="decimal" allowBlank="1" showInputMessage="1" showErrorMessage="1" errorTitle="Invalid Diamter or Span" error="The Diameter or Span entered is invalid. Diameter or Span must be &gt; 0 and &lt; 100" sqref="N28" xr:uid="{E62DDFE4-62E9-6F46-A02C-C0712171F7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list" allowBlank="1" showInputMessage="1" showErrorMessage="1" errorTitle="Invalid value entered" error="The crossing subtype is not compatible with a crossing type of Open Bottom Structure" sqref="M29" xr:uid="{AC5EDBF6-D571-D945-BC99-F7E6AC6932F1}">
      <formula1>"Bridge, Pipe Arch, Wood Box Culvert"</formula1>
    </dataValidation>
    <dataValidation type="decimal" allowBlank="1" showInputMessage="1" showErrorMessage="1" errorTitle="Invalid Diamter or Span" error="The Diameter or Span entered is invalid. Diameter or Span must be &gt; 0 and &lt; 100" sqref="N29" xr:uid="{E607A25B-204B-5D48-A816-1C905BD8D51C}">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list" allowBlank="1" showInputMessage="1" showErrorMessage="1" errorTitle="Invalid value entered" error="The crossing subtype is not compatible with a crossing type of Closed Bottom Structure" sqref="M30" xr:uid="{8E7038AD-4AB8-EE49-A5F9-E62A375FEB5E}">
      <formula1>"Round Culvert,Oval Culvert,Concrete Box"</formula1>
    </dataValidation>
    <dataValidation type="decimal" allowBlank="1" showInputMessage="1" showErrorMessage="1" errorTitle="Invalid Diamter or Span" error="The Diameter or Span entered is invalid. Diameter or Span must be &gt; 0 and &lt; 300" sqref="N30" xr:uid="{4D4F684F-5AC9-C249-9076-3922E2595B6C}">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30" xr:uid="{09E57645-4E74-3A41-9786-B0DEEB9127A3}">
      <formula1>0.01</formula1>
      <formula2>0.74</formula2>
    </dataValidation>
    <dataValidation type="list" allowBlank="1" showInputMessage="1" showErrorMessage="1" errorTitle="Invalid value entered" error="The crossing subtype is not compatible with a crossing type of Closed Bottom Structure" sqref="M31" xr:uid="{D7CEF338-9F34-0A43-B75D-64AF544ACF64}">
      <formula1>"Round Culvert,Oval Culvert,Concrete Box"</formula1>
    </dataValidation>
    <dataValidation type="decimal" allowBlank="1" showInputMessage="1" showErrorMessage="1" errorTitle="Invalid Diamter or Span" error="The Diameter or Span entered is invalid. Diameter or Span must be &gt; 0 and &lt; 300" sqref="N31" xr:uid="{77421A23-25B1-1F41-81E0-25D945BD0C75}">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list" allowBlank="1" showInputMessage="1" showErrorMessage="1" errorTitle="Invalid value entered" error="The crossing subtype is not compatible with a crossing type of Closed Bottom Structure" sqref="M32" xr:uid="{68F37738-DF8E-9845-8F4A-83856F1EC841}">
      <formula1>"Round Culvert,Oval Culvert,Concrete Box"</formula1>
    </dataValidation>
    <dataValidation type="decimal" allowBlank="1" showInputMessage="1" showErrorMessage="1" errorTitle="Invalid Diamter or Span" error="The Diameter or Span entered is invalid. Diameter or Span must be &gt; 0 and &lt; 300" sqref="N32" xr:uid="{22515B6A-944B-884D-A927-A17C580D24CF}">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2" xr:uid="{80DBB21C-FA90-204C-BA30-99E619572F62}">
      <formula1>0.01</formula1>
      <formula2>0.59</formula2>
    </dataValidation>
    <dataValidation type="list" allowBlank="1" showInputMessage="1" showErrorMessage="1" errorTitle="Invalid value entered" error="The crossing subtype is not compatible with a crossing type of Closed Bottom Structure" sqref="M33" xr:uid="{7E24ABB6-3484-CB46-A7B8-B821980E99D3}">
      <formula1>"Round Culvert,Oval Culvert,Concrete Box"</formula1>
    </dataValidation>
    <dataValidation type="decimal" allowBlank="1" showInputMessage="1" showErrorMessage="1" errorTitle="Invalid Diamter or Span" error="The Diameter or Span entered is invalid. Diameter or Span must be &gt; 0 and &lt; 300" sqref="N33" xr:uid="{1468887D-F37D-4C47-A8CA-F172951C48F4}">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list" allowBlank="1" showInputMessage="1" showErrorMessage="1" errorTitle="Invalid value entered" error="The crossing subtype is not compatible with a crossing type of Closed Bottom Structure" sqref="M34" xr:uid="{0B7AC102-47C5-BE43-9000-8232BCD19752}">
      <formula1>"Round Culvert,Oval Culvert,Concrete Box"</formula1>
    </dataValidation>
    <dataValidation type="decimal" allowBlank="1" showInputMessage="1" showErrorMessage="1" errorTitle="Invalid Diamter or Span" error="The Diameter or Span entered is invalid. Diameter or Span must be &gt; 0 and &lt; 300" sqref="N34" xr:uid="{5365B9E6-8651-A44F-A79F-95FD12DC0CC2}">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4" xr:uid="{F36CCDEB-A1BD-8F4C-9A19-16DFF2887EBD}">
      <formula1>0.01</formula1>
      <formula2>0.59</formula2>
    </dataValidation>
    <dataValidation type="list" allowBlank="1" showInputMessage="1" showErrorMessage="1" errorTitle="Invalid value entered" error="The crossing subtype is not compatible with a crossing type of Closed Bottom Structure" sqref="M35" xr:uid="{8CDE4D3A-4FEA-934E-9709-805CCE3E1364}">
      <formula1>"Round Culvert,Oval Culvert,Concrete Box"</formula1>
    </dataValidation>
    <dataValidation type="decimal" allowBlank="1" showInputMessage="1" showErrorMessage="1" errorTitle="Invalid Diamter or Span" error="The Diameter or Span entered is invalid. Diameter or Span must be &gt; 0 and &lt; 300" sqref="N35" xr:uid="{0AAC6735-4FB5-0949-9FCA-253BF7CFE185}">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5" xr:uid="{AB9B7CC5-C7A3-B14F-BEF2-5BE0D553A537}">
      <formula1>0.01</formula1>
      <formula2>0.59</formula2>
    </dataValidation>
    <dataValidation type="list" allowBlank="1" showInputMessage="1" showErrorMessage="1" errorTitle="Invalid value entered" error="The crossing subtype is not compatible with a crossing type of Open Bottom Structure" sqref="M36" xr:uid="{82A50E70-DB2E-554D-A2DC-EBBAD80B9A22}">
      <formula1>"Bridge, Pipe Arch, Wood Box Culvert"</formula1>
    </dataValidation>
    <dataValidation type="decimal" allowBlank="1" showInputMessage="1" showErrorMessage="1" errorTitle="Invalid Diamter or Span" error="The Diameter or Span entered is invalid. Diameter or Span must be &gt; 0 and &lt; 100" sqref="N36" xr:uid="{E84F5D91-9250-4F45-BA26-426FC0333648}">
      <formula1>0.01</formula1>
      <formula2>100</formula2>
    </dataValidation>
    <dataValidation type="decimal" allowBlank="1" showInputMessage="1" showErrorMessage="1" errorTitle="Invalid value entered" error="The Average Depth Embededdment you entered is invalid. The Average Depth Embededdment must be &lt;= 2.49 and &gt;= 0.01" sqref="Q36" xr:uid="{09B2851F-20CB-0740-AEF3-A2080252E4C0}">
      <formula1>0.01</formula1>
      <formula2>2.49</formula2>
    </dataValidation>
    <dataValidation type="list" allowBlank="1" showInputMessage="1" showErrorMessage="1" errorTitle="Invalid value entered" error="The crossing subtype is not compatible with a crossing type of Closed Bottom Structure" sqref="M37" xr:uid="{C57E35DD-D69B-9C40-8D88-3FE7E5A1D356}">
      <formula1>"Round Culvert,Oval Culvert,Concrete Box"</formula1>
    </dataValidation>
    <dataValidation type="decimal" allowBlank="1" showInputMessage="1" showErrorMessage="1" errorTitle="Invalid Diamter or Span" error="The Diameter or Span entered is invalid. Diameter or Span must be &gt; 0 and &lt; 300" sqref="N37" xr:uid="{B61CA1F6-B2CC-F549-9C7F-F71D277C3DE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7" xr:uid="{61C371E7-EC60-7E4D-8B4D-29C77008AC46}">
      <formula1>0.01</formula1>
      <formula2>0.59</formula2>
    </dataValidation>
    <dataValidation type="list" allowBlank="1" showInputMessage="1" showErrorMessage="1" errorTitle="Invalid value entered" error="The crossing subtype is not compatible with a crossing type of Closed Bottom Structure" sqref="M38" xr:uid="{58D60A79-F5D7-474D-A896-6AF7B5838A99}">
      <formula1>"Round Culvert,Oval Culvert,Concrete Box"</formula1>
    </dataValidation>
    <dataValidation type="decimal" allowBlank="1" showInputMessage="1" showErrorMessage="1" errorTitle="Invalid Diamter or Span" error="The Diameter or Span entered is invalid. Diameter or Span must be &gt; 0 and &lt; 300" sqref="N38" xr:uid="{16EFC0E9-86A6-8A46-A302-5422F59E6B9C}">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8" xr:uid="{42B1F13B-2F34-BB43-AD74-7B09AB890652}">
      <formula1>0.01</formula1>
      <formula2>1.49</formula2>
    </dataValidation>
    <dataValidation type="list" allowBlank="1" showInputMessage="1" showErrorMessage="1" errorTitle="Invalid value entered" error="The crossing subtype is not compatible with a crossing type of Closed Bottom Structure" sqref="M39" xr:uid="{7A6561AC-76F8-7349-A5F4-D0FF838073DF}">
      <formula1>"Round Culvert,Oval Culvert,Concrete Box"</formula1>
    </dataValidation>
    <dataValidation type="decimal" allowBlank="1" showInputMessage="1" showErrorMessage="1" errorTitle="Invalid Diamter or Span" error="The Diameter or Span entered is invalid. Diameter or Span must be &gt; 0 and &lt; 300" sqref="N39" xr:uid="{2A9CEC5F-A3F1-5345-9ADA-3C9A4BDAFE9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9" xr:uid="{84BB09A6-DE0A-264A-B64D-C496BAD85453}">
      <formula1>0.01</formula1>
      <formula2>0.89</formula2>
    </dataValidation>
    <dataValidation type="list" allowBlank="1" showInputMessage="1" showErrorMessage="1" errorTitle="Invalid value entered" error="The crossing subtype is not compatible with a crossing type of Closed Bottom Structure" sqref="M40" xr:uid="{CC55C94C-1827-0443-859C-1AA2FAFD521F}">
      <formula1>"Round Culvert,Oval Culvert,Concrete Box"</formula1>
    </dataValidation>
    <dataValidation type="decimal" allowBlank="1" showInputMessage="1" showErrorMessage="1" errorTitle="Invalid Diamter or Span" error="The Diameter or Span entered is invalid. Diameter or Span must be &gt; 0 and &lt; 300" sqref="N40" xr:uid="{E5887640-6250-0E4F-87E7-CB08D194164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0" xr:uid="{59980E10-A87E-1D4B-B1FA-DB02CD058412}">
      <formula1>0.01</formula1>
      <formula2>1.49</formula2>
    </dataValidation>
    <dataValidation type="list" allowBlank="1" showInputMessage="1" showErrorMessage="1" errorTitle="Invalid value entered" error="The crossing subtype is not compatible with a crossing type of Closed Bottom Structure" sqref="M41" xr:uid="{C54B4734-0183-1D4E-88F2-A2F3C88F2F40}">
      <formula1>"Round Culvert,Oval Culvert,Concrete Box"</formula1>
    </dataValidation>
    <dataValidation type="decimal" allowBlank="1" showInputMessage="1" showErrorMessage="1" errorTitle="Invalid Diamter or Span" error="The Diameter or Span entered is invalid. Diameter or Span must be &gt; 0 and &lt; 300" sqref="N41" xr:uid="{3AE5EF37-288C-8C4E-B60D-0EF5C6FAC2A5}">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41" xr:uid="{96C40464-8547-264A-9D2F-7A46D19FFB8D}">
      <formula1>0.01</formula1>
      <formula2>0.44</formula2>
    </dataValidation>
    <dataValidation type="list" allowBlank="1" showInputMessage="1" showErrorMessage="1" errorTitle="Invalid value entered" error="The crossing subtype is not compatible with a crossing type of Closed Bottom Structure" sqref="M42" xr:uid="{29996768-22EF-0641-AB44-7B6DF8F60F7F}">
      <formula1>"Round Culvert,Oval Culvert,Concrete Box"</formula1>
    </dataValidation>
    <dataValidation type="decimal" allowBlank="1" showInputMessage="1" showErrorMessage="1" errorTitle="Invalid Diamter or Span" error="The Diameter or Span entered is invalid. Diameter or Span must be &gt; 0 and &lt; 300" sqref="N42" xr:uid="{61AF4BBF-581A-E64E-B873-0FB07CEB7037}">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42" xr:uid="{F5778B8E-46E2-3C4C-B455-6EED2CFF549B}">
      <formula1>0.01</formula1>
      <formula2>0.79</formula2>
    </dataValidation>
    <dataValidation type="list" allowBlank="1" showInputMessage="1" showErrorMessage="1" errorTitle="Invalid value entered" error="The crossing subtype is not compatible with a crossing type of Closed Bottom Structure" sqref="M43" xr:uid="{955A470F-5F42-1B4F-9209-567A12811A6F}">
      <formula1>"Round Culvert,Oval Culvert,Concrete Box"</formula1>
    </dataValidation>
    <dataValidation type="decimal" allowBlank="1" showInputMessage="1" showErrorMessage="1" errorTitle="Invalid Diamter or Span" error="The Diameter or Span entered is invalid. Diameter or Span must be &gt; 0 and &lt; 300" sqref="N43" xr:uid="{3840453B-07C6-394F-9830-975EFBD2CF9A}">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43" xr:uid="{206FCD18-5CA2-1D47-95DE-A0CFCAFCF8A7}">
      <formula1>0.01</formula1>
      <formula2>0.44</formula2>
    </dataValidation>
    <dataValidation type="list" allowBlank="1" showInputMessage="1" showErrorMessage="1" errorTitle="Invalid value entered" error="The crossing subtype is not compatible with a crossing type of Closed Bottom Structure" sqref="M44" xr:uid="{C7E719CB-D16D-D94D-9FBA-8FCFDB267653}">
      <formula1>"Round Culvert,Oval Culvert,Concrete Box"</formula1>
    </dataValidation>
    <dataValidation type="decimal" allowBlank="1" showInputMessage="1" showErrorMessage="1" errorTitle="Invalid Diamter or Span" error="The Diameter or Span entered is invalid. Diameter or Span must be &gt; 0 and &lt; 300" sqref="N44" xr:uid="{5CED650B-7242-EC4E-9441-E445BFEC9EC6}">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44" xr:uid="{E72D09E4-7EEB-F940-946A-3328CB41F848}">
      <formula1>0.01</formula1>
      <formula2>2.49</formula2>
    </dataValidation>
    <dataValidation type="list" allowBlank="1" showInputMessage="1" showErrorMessage="1" errorTitle="Invalid value entered" error="The crossing subtype is not compatible with a crossing type of Closed Bottom Structure" sqref="M45" xr:uid="{8F62312F-621D-9946-9361-DCBD034279D3}">
      <formula1>"Round Culvert,Oval Culvert,Concrete Box"</formula1>
    </dataValidation>
    <dataValidation type="decimal" allowBlank="1" showInputMessage="1" showErrorMessage="1" errorTitle="Invalid Diamter or Span" error="The Diameter or Span entered is invalid. Diameter or Span must be &gt; 0 and &lt; 300" sqref="N45" xr:uid="{5443326A-970E-7149-8FD3-E510DB2AC612}">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5" xr:uid="{54525171-0CEC-054C-BEF9-5395A5D038D2}">
      <formula1>0.01</formula1>
      <formula2>0.59</formula2>
    </dataValidation>
    <dataValidation type="list" allowBlank="1" showInputMessage="1" showErrorMessage="1" errorTitle="Invalid value entered" error="The crossing subtype is not compatible with a crossing type of Closed Bottom Structure" sqref="M46" xr:uid="{44C7A2D2-B0CE-8D44-AD48-65CA413BC5E7}">
      <formula1>"Round Culvert,Oval Culvert,Concrete Box"</formula1>
    </dataValidation>
    <dataValidation type="decimal" allowBlank="1" showInputMessage="1" showErrorMessage="1" errorTitle="Invalid Diamter or Span" error="The Diameter or Span entered is invalid. Diameter or Span must be &gt; 0 and &lt; 300" sqref="N46" xr:uid="{A258F7F9-78B3-B946-9E48-2EEB4B75A84F}">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46" xr:uid="{8200A218-65AA-0849-8111-1EC4CEF110DC}">
      <formula1>0.01</formula1>
      <formula2>0.79</formula2>
    </dataValidation>
    <dataValidation type="list" allowBlank="1" showInputMessage="1" showErrorMessage="1" errorTitle="Invalid value entered" error="The crossing subtype is not compatible with a crossing type of Closed Bottom Structure" sqref="M47" xr:uid="{3C293001-EC38-7147-861A-3EE840011D12}">
      <formula1>"Round Culvert,Oval Culvert,Concrete Box"</formula1>
    </dataValidation>
    <dataValidation type="decimal" allowBlank="1" showInputMessage="1" showErrorMessage="1" errorTitle="Invalid Diamter or Span" error="The Diameter or Span entered is invalid. Diameter or Span must be &gt; 0 and &lt; 300" sqref="N47" xr:uid="{C85020D5-9899-4942-ABB2-258B8E3724B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7" xr:uid="{54887738-1E58-204A-95E0-B285EECF1AE5}">
      <formula1>0.01</formula1>
      <formula2>0.89</formula2>
    </dataValidation>
    <dataValidation type="list" allowBlank="1" showInputMessage="1" showErrorMessage="1" errorTitle="Invalid value entered" error="The crossing subtype is not compatible with a crossing type of Other" sqref="M48" xr:uid="{72177DB9-0BB6-8C45-B651-E983743D961B}">
      <formula1>"Ford"</formula1>
    </dataValidation>
    <dataValidation type="list" allowBlank="1" showInputMessage="1" showErrorMessage="1" errorTitle="Invalid value entered" error="The crossing subtype is not compatible with a crossing type of Closed Bottom Structure" sqref="M49" xr:uid="{55ED9C9F-0662-404B-9F44-7E9BDF9CF648}">
      <formula1>"Round Culvert,Oval Culvert,Concrete Box"</formula1>
    </dataValidation>
    <dataValidation type="decimal" allowBlank="1" showInputMessage="1" showErrorMessage="1" errorTitle="Invalid Diamter or Span" error="The Diameter or Span entered is invalid. Diameter or Span must be &gt; 0 and &lt; 300" sqref="N49" xr:uid="{57446BBA-9993-884E-80CE-403676032FB1}">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9" xr:uid="{5C7B25A9-DE47-BA45-A8C6-A4452FA211B2}">
      <formula1>0.01</formula1>
      <formula2>0.59</formula2>
    </dataValidation>
    <dataValidation type="list" allowBlank="1" showInputMessage="1" showErrorMessage="1" errorTitle="Invalid value entered" error="The crossing subtype is not compatible with a crossing type of Closed Bottom Structure" sqref="M50" xr:uid="{64BDEBEF-BCF5-3540-89D6-707216BCA3A8}">
      <formula1>"Round Culvert,Oval Culvert,Concrete Box"</formula1>
    </dataValidation>
    <dataValidation type="decimal" allowBlank="1" showInputMessage="1" showErrorMessage="1" errorTitle="Invalid Diamter or Span" error="The Diameter or Span entered is invalid. Diameter or Span must be &gt; 0 and &lt; 300" sqref="N50" xr:uid="{2B0262C2-5262-0F45-A794-A4B963783F7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0" xr:uid="{0F702571-8251-F14D-B467-F76586CE30FB}">
      <formula1>0.01</formula1>
      <formula2>0.89</formula2>
    </dataValidation>
    <dataValidation type="list" allowBlank="1" showInputMessage="1" showErrorMessage="1" errorTitle="Invalid value entered" error="The crossing subtype is not compatible with a crossing type of Open Bottom Structure" sqref="M51" xr:uid="{7A4F6F47-CA3A-0C45-916D-ACA6CB34CBAF}">
      <formula1>"Bridge, Pipe Arch, Wood Box Culvert"</formula1>
    </dataValidation>
    <dataValidation type="decimal" allowBlank="1" showInputMessage="1" showErrorMessage="1" errorTitle="Invalid Diamter or Span" error="The Diameter or Span entered is invalid. Diameter or Span must be &gt; 0 and &lt; 100" sqref="N51" xr:uid="{1DCA5D4A-B00B-6F45-991E-0D47A9E3B051}">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list" allowBlank="1" showInputMessage="1" showErrorMessage="1" errorTitle="Invalid value entered" error="The crossing subtype is not compatible with a crossing type of Closed Bottom Structure" sqref="M52" xr:uid="{740AA706-0513-C448-812E-E3509BCD6C2F}">
      <formula1>"Round Culvert,Oval Culvert,Concrete Box"</formula1>
    </dataValidation>
    <dataValidation type="decimal" allowBlank="1" showInputMessage="1" showErrorMessage="1" errorTitle="Invalid Diamter or Span" error="The Diameter or Span entered is invalid. Diameter or Span must be &gt; 0 and &lt; 300" sqref="N52" xr:uid="{836CFD59-293D-3540-B768-29DC4C99E2A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2" xr:uid="{504BB4C7-91DA-8643-A8BA-8770D976E4DE}">
      <formula1>0.01</formula1>
      <formula2>1.19</formula2>
    </dataValidation>
    <dataValidation type="list" allowBlank="1" showInputMessage="1" showErrorMessage="1" errorTitle="Invalid value entered" error="The crossing subtype is not compatible with a crossing type of Closed Bottom Structure" sqref="M53" xr:uid="{A5E9DBA3-4DD0-6645-A6FF-51389BB9CFDF}">
      <formula1>"Round Culvert,Oval Culvert,Concrete Box"</formula1>
    </dataValidation>
    <dataValidation type="decimal" allowBlank="1" showInputMessage="1" showErrorMessage="1" errorTitle="Invalid Diamter or Span" error="The Diameter or Span entered is invalid. Diameter or Span must be &gt; 0 and &lt; 300" sqref="N53" xr:uid="{74600A80-9B8B-2444-AE38-7BAE1BE5CF7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3" xr:uid="{5FD7102D-3547-3641-911D-B082430F7A62}">
      <formula1>0.01</formula1>
      <formula2>1.19</formula2>
    </dataValidation>
    <dataValidation type="list" allowBlank="1" showInputMessage="1" showErrorMessage="1" errorTitle="Invalid value entered" error="The crossing subtype is not compatible with a crossing type of Closed Bottom Structure" sqref="M54" xr:uid="{3E79A45A-57EB-7F42-A93A-E8C191EEB95C}">
      <formula1>"Round Culvert,Oval Culvert,Concrete Box"</formula1>
    </dataValidation>
    <dataValidation type="decimal" allowBlank="1" showInputMessage="1" showErrorMessage="1" errorTitle="Invalid Diamter or Span" error="The Diameter or Span entered is invalid. Diameter or Span must be &gt; 0 and &lt; 300" sqref="N54" xr:uid="{85E9501F-5AF4-3043-A567-F42C5411FC24}">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list" allowBlank="1" showInputMessage="1" showErrorMessage="1" errorTitle="Invalid value entered" error="The crossing subtype is not compatible with a crossing type of Closed Bottom Structure" sqref="M55" xr:uid="{DCCE7E95-D3BC-0C48-8C5E-D5B57ED51155}">
      <formula1>"Round Culvert,Oval Culvert,Concrete Box"</formula1>
    </dataValidation>
    <dataValidation type="decimal" allowBlank="1" showInputMessage="1" showErrorMessage="1" errorTitle="Invalid Diamter or Span" error="The Diameter or Span entered is invalid. Diameter or Span must be &gt; 0 and &lt; 300" sqref="N55" xr:uid="{7F842453-CEC9-C446-9EDF-9FDB047A1B4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5" xr:uid="{19531A92-9DBC-E34C-85B2-541CA13B65D7}">
      <formula1>0.01</formula1>
      <formula2>1.19</formula2>
    </dataValidation>
    <dataValidation type="list" allowBlank="1" showInputMessage="1" showErrorMessage="1" errorTitle="Invalid value entered" error="The crossing subtype is not compatible with a crossing type of Closed Bottom Structure" sqref="M56" xr:uid="{A5C35F2E-C371-DD40-8FB5-05CDF0A5F1D5}">
      <formula1>"Round Culvert,Oval Culvert,Concrete Box"</formula1>
    </dataValidation>
    <dataValidation type="decimal" allowBlank="1" showInputMessage="1" showErrorMessage="1" errorTitle="Invalid Diamter or Span" error="The Diameter or Span entered is invalid. Diameter or Span must be &gt; 0 and &lt; 300" sqref="N56" xr:uid="{0AD90F1A-0FE7-2240-B937-9FB9378324D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6" xr:uid="{82C67644-D721-414F-9C06-CB14F8FBFC6D}">
      <formula1>0.01</formula1>
      <formula2>1.19</formula2>
    </dataValidation>
    <dataValidation type="list" allowBlank="1" showInputMessage="1" showErrorMessage="1" errorTitle="Invalid value entered" error="The crossing subtype is not compatible with a crossing type of Closed Bottom Structure" sqref="M57" xr:uid="{8B13BAD6-31B7-4943-B855-4B296E072961}">
      <formula1>"Round Culvert,Oval Culvert,Concrete Box"</formula1>
    </dataValidation>
    <dataValidation type="decimal" allowBlank="1" showInputMessage="1" showErrorMessage="1" errorTitle="Invalid Diamter or Span" error="The Diameter or Span entered is invalid. Diameter or Span must be &gt; 0 and &lt; 300" sqref="N57" xr:uid="{ED9CE7D4-4DBD-0443-93F0-8B4BD805B65D}">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7" xr:uid="{3442863A-AB1C-1442-9FE6-A03FEAD8C50E}">
      <formula1>0.01</formula1>
      <formula2>1.49</formula2>
    </dataValidation>
    <dataValidation type="list" allowBlank="1" showInputMessage="1" showErrorMessage="1" errorTitle="Invalid value entered" error="The crossing subtype is not compatible with a crossing type of Closed Bottom Structure" sqref="M58" xr:uid="{515DD4D7-36EC-D34F-8542-B3FAF34645E3}">
      <formula1>"Round Culvert,Oval Culvert,Concrete Box"</formula1>
    </dataValidation>
    <dataValidation type="decimal" allowBlank="1" showInputMessage="1" showErrorMessage="1" errorTitle="Invalid Diamter or Span" error="The Diameter or Span entered is invalid. Diameter or Span must be &gt; 0 and &lt; 300" sqref="N58" xr:uid="{FE6D7F79-AAF7-6F45-96B7-22BA0AA85722}">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list" allowBlank="1" showInputMessage="1" showErrorMessage="1" errorTitle="Invalid value entered" error="The crossing subtype is not compatible with a crossing type of Closed Bottom Structure" sqref="M59" xr:uid="{BFF95688-94EC-EC4A-9E0F-3A2E3F2E8DFC}">
      <formula1>"Round Culvert,Oval Culvert,Concrete Box"</formula1>
    </dataValidation>
    <dataValidation type="decimal" allowBlank="1" showInputMessage="1" showErrorMessage="1" errorTitle="Invalid Diamter or Span" error="The Diameter or Span entered is invalid. Diameter or Span must be &gt; 0 and &lt; 300" sqref="N59" xr:uid="{8F172DC0-3913-D14C-A946-2F64A6C58D4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9" xr:uid="{CE1925D2-3159-FB40-A0CA-52EC614B75EB}">
      <formula1>0.01</formula1>
      <formula2>0.89</formula2>
    </dataValidation>
    <dataValidation type="list" allowBlank="1" showInputMessage="1" showErrorMessage="1" errorTitle="Invalid value entered" error="The crossing subtype is not compatible with a crossing type of Closed Bottom Structure" sqref="M60" xr:uid="{1B5A757F-3777-6D40-8AD0-34C70408DC35}">
      <formula1>"Round Culvert,Oval Culvert,Concrete Box"</formula1>
    </dataValidation>
    <dataValidation type="decimal" allowBlank="1" showInputMessage="1" showErrorMessage="1" errorTitle="Invalid Diamter or Span" error="The Diameter or Span entered is invalid. Diameter or Span must be &gt; 0 and &lt; 300" sqref="N60" xr:uid="{70459531-956E-784F-90C4-A9217B3A521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0" xr:uid="{6F9FB358-3041-6D4C-9E88-1F3E0ADA4360}">
      <formula1>0.01</formula1>
      <formula2>0.89</formula2>
    </dataValidation>
    <dataValidation type="list" allowBlank="1" showInputMessage="1" showErrorMessage="1" errorTitle="Invalid value entered" error="The crossing subtype is not compatible with a crossing type of Closed Bottom Structure" sqref="M61" xr:uid="{8AC5361D-836D-C94E-ABBF-12EF71BCECDD}">
      <formula1>"Round Culvert,Oval Culvert,Concrete Box"</formula1>
    </dataValidation>
    <dataValidation type="decimal" allowBlank="1" showInputMessage="1" showErrorMessage="1" errorTitle="Invalid Diamter or Span" error="The Diameter or Span entered is invalid. Diameter or Span must be &gt; 0 and &lt; 300" sqref="N61" xr:uid="{1BD95667-6CCC-184A-92F5-F609C025F57C}">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1" xr:uid="{F5CF8735-02C9-A74E-B0DE-A50D652B3F8F}">
      <formula1>0.01</formula1>
      <formula2>1.19</formula2>
    </dataValidation>
    <dataValidation type="list" allowBlank="1" showInputMessage="1" showErrorMessage="1" errorTitle="Invalid value entered" error="The crossing subtype is not compatible with a crossing type of Closed Bottom Structure" sqref="M62" xr:uid="{76462881-6F40-7E49-A85D-F664C0A29B68}">
      <formula1>"Round Culvert,Oval Culvert,Concrete Box"</formula1>
    </dataValidation>
    <dataValidation type="decimal" allowBlank="1" showInputMessage="1" showErrorMessage="1" errorTitle="Invalid Diamter or Span" error="The Diameter or Span entered is invalid. Diameter or Span must be &gt; 0 and &lt; 300" sqref="N62" xr:uid="{0138BCD4-62C5-C34D-B5F5-AFE7185BFE19}">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2" xr:uid="{6CD7AC84-58D0-5541-B5EB-69B0F0558270}">
      <formula1>0.01</formula1>
      <formula2>0.89</formula2>
    </dataValidation>
    <dataValidation type="list" allowBlank="1" showInputMessage="1" showErrorMessage="1" errorTitle="Invalid value entered" error="The crossing subtype is not compatible with a crossing type of Closed Bottom Structure" sqref="M63" xr:uid="{6C724FFA-FE24-734E-8D6F-73B194237FA3}">
      <formula1>"Round Culvert,Oval Culvert,Concrete Box"</formula1>
    </dataValidation>
    <dataValidation type="decimal" allowBlank="1" showInputMessage="1" showErrorMessage="1" errorTitle="Invalid Diamter or Span" error="The Diameter or Span entered is invalid. Diameter or Span must be &gt; 0 and &lt; 300" sqref="N63" xr:uid="{4F03C47D-76B8-E440-A342-AEA17FCBA2A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3" xr:uid="{E1907EE0-7840-344F-AF34-9C74CF6EAC17}">
      <formula1>0.01</formula1>
      <formula2>1.19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8" customWidth="1"/>
    <col min="2" max="2" width="5.83203125" style="18" customWidth="1"/>
    <col min="3" max="3" width="69.6640625" style="19" customWidth="1"/>
    <col min="5" max="5" width="15" customWidth="1"/>
  </cols>
  <sheetData>
    <row r="1" spans="1:3" s="6" customFormat="1" ht="20">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Microsoft Office User</cp:lastModifiedBy>
  <cp:lastPrinted>2011-03-18T16:44:45Z</cp:lastPrinted>
  <dcterms:created xsi:type="dcterms:W3CDTF">2011-03-01T02:31:49Z</dcterms:created>
  <dcterms:modified xsi:type="dcterms:W3CDTF">2020-09-25T23:17:26Z</dcterms:modified>
</cp:coreProperties>
</file>